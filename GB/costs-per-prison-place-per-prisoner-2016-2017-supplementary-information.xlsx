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S:\FCA\FPAC\FMAP\FC&amp;A Poise Data\001-Corp Planning-Except VFM\001-Activity Costings\02-Custody\01-Documents\2016-17 Prisoner Costings\2016-17 Publishing\"/>
    </mc:Choice>
  </mc:AlternateContent>
  <bookViews>
    <workbookView xWindow="0" yWindow="135" windowWidth="15270" windowHeight="7320" tabRatio="601"/>
  </bookViews>
  <sheets>
    <sheet name="Cover " sheetId="13" r:id="rId1"/>
    <sheet name="T1_Contracted Prisons" sheetId="14" r:id="rId2"/>
    <sheet name="T2_Supplementary Data" sheetId="15" r:id="rId3"/>
  </sheets>
  <externalReferences>
    <externalReference r:id="rId4"/>
    <externalReference r:id="rId5"/>
    <externalReference r:id="rId6"/>
  </externalReferences>
  <definedNames>
    <definedName name="__XA1">#REF!</definedName>
    <definedName name="_XA1">#REF!</definedName>
    <definedName name="Absolute_Change___m">#REF!</definedName>
    <definedName name="accomodation">#REF!</definedName>
    <definedName name="agency_staff">#REF!</definedName>
    <definedName name="Allocations">#REF!</definedName>
    <definedName name="Aloocations">#REF!</definedName>
    <definedName name="auditors_NAO">#REF!</definedName>
    <definedName name="BNE_MESSAGES_HIDDEN" hidden="1">#REF!</definedName>
    <definedName name="CA">#REF!</definedName>
    <definedName name="cap_grant_legal_services_com">#REF!</definedName>
    <definedName name="cap_grants_local_auth_mags">#REF!</definedName>
    <definedName name="Capital">#REF!</definedName>
    <definedName name="capital_grants">#REF!</definedName>
    <definedName name="cfers_allowable_as_op">#REF!</definedName>
    <definedName name="CL">#REF!</definedName>
    <definedName name="Control_Checks_0708_active">'[1]0708 active sht'!$A$1364</definedName>
    <definedName name="cost_all_recharges">#REF!</definedName>
    <definedName name="cost_alloc_centrl_ohead">#REF!</definedName>
    <definedName name="cost_alloca_internal_recharge">#REF!</definedName>
    <definedName name="cost_of_cap">#REF!</definedName>
    <definedName name="costs_fr_ctrl_fnds">#REF!</definedName>
    <definedName name="courts_report">#REF!</definedName>
    <definedName name="current_grants">#REF!</definedName>
    <definedName name="depn_dwelling">#REF!</definedName>
    <definedName name="depn_furniture">#REF!</definedName>
    <definedName name="depn_intang_ass">#REF!</definedName>
    <definedName name="depn_IT">#REF!</definedName>
    <definedName name="depn_Land">#REF!</definedName>
    <definedName name="depn_payt_on_acc">#REF!</definedName>
    <definedName name="depn_Plant">#REF!</definedName>
    <definedName name="Depreciation">#REF!</definedName>
    <definedName name="deprn">#REF!</definedName>
    <definedName name="dim_dwelling">#REF!</definedName>
    <definedName name="dim_FA">#REF!</definedName>
    <definedName name="dim_furn">#REF!</definedName>
    <definedName name="dim_intang">#REF!</definedName>
    <definedName name="dim_IT">#REF!</definedName>
    <definedName name="dim_land">#REF!</definedName>
    <definedName name="dim_pay_on_acc">#REF!</definedName>
    <definedName name="dim_plant">#REF!</definedName>
    <definedName name="Dpreciation">#REF!</definedName>
    <definedName name="Equity">#REF!</definedName>
    <definedName name="FA">#REF!</definedName>
    <definedName name="FAIR_VALUE">#REF!</definedName>
    <definedName name="Fee_income">#REF!</definedName>
    <definedName name="Fee_income3">#REF!</definedName>
    <definedName name="fees_civil">#REF!</definedName>
    <definedName name="fin_on_leased">#REF!</definedName>
    <definedName name="fines_crim">#REF!</definedName>
    <definedName name="Fines_income">#REF!</definedName>
    <definedName name="fines_income3">#REF!</definedName>
    <definedName name="FiscalSummary">#REF!</definedName>
    <definedName name="grants_crim_legal_aid">#REF!</definedName>
    <definedName name="grants_legal_admin">#REF!</definedName>
    <definedName name="grants_legal_aid">#REF!</definedName>
    <definedName name="Grants_legal_services">#REF!</definedName>
    <definedName name="grants_local_auth">#REF!</definedName>
    <definedName name="grants_local_auth_mags">#REF!</definedName>
    <definedName name="Granular">#REF!</definedName>
    <definedName name="hire_of_plant">#REF!</definedName>
    <definedName name="Income">#REF!</definedName>
    <definedName name="Interdepartmental">#REF!</definedName>
    <definedName name="interest">#REF!</definedName>
    <definedName name="j_a_s">#REF!</definedName>
    <definedName name="jud_a_s">#REF!</definedName>
    <definedName name="jud_agency_staff">#REF!</definedName>
    <definedName name="jud_other">#REF!</definedName>
    <definedName name="jud_other_pen_costs_act">#REF!</definedName>
    <definedName name="jud_soc_sec_costs">#REF!</definedName>
    <definedName name="jud_wages_sal">#REF!</definedName>
    <definedName name="judicial_costs">#REF!</definedName>
    <definedName name="judicial_sal">#REF!</definedName>
    <definedName name="juror_costs">#REF!</definedName>
    <definedName name="legal_services_com">#REF!</definedName>
    <definedName name="non_jud_ag_staff">#REF!</definedName>
    <definedName name="non_judicial_sal">#REF!</definedName>
    <definedName name="non_staff_costs">#REF!</definedName>
    <definedName name="notioanal_income">#REF!</definedName>
    <definedName name="notional_costs">#REF!</definedName>
    <definedName name="notional_costs_other">#REF!</definedName>
    <definedName name="NPV">#REF!</definedName>
    <definedName name="offic_sol_and_pub">#REF!</definedName>
    <definedName name="Operating_costs">#REF!</definedName>
    <definedName name="other_exp_other">#REF!</definedName>
    <definedName name="other_expenditure">#REF!</definedName>
    <definedName name="other_grants_in_aid">#REF!</definedName>
    <definedName name="Other_income">#REF!</definedName>
    <definedName name="other_op_leases">#REF!</definedName>
    <definedName name="other_pen_costs_act">#REF!</definedName>
    <definedName name="other_pensions">#REF!</definedName>
    <definedName name="other_pers_costs">#REF!</definedName>
    <definedName name="other_pers_jud">#REF!</definedName>
    <definedName name="Other_pers_other">#REF!</definedName>
    <definedName name="PandL_acc">#REF!</definedName>
    <definedName name="PandL_contrl_acc">#REF!</definedName>
    <definedName name="pay_to_consol_fund">#REF!</definedName>
    <definedName name="Percentage_Change">#REF!</definedName>
    <definedName name="Percentage_Comparison">#REF!</definedName>
    <definedName name="PFI_deferred">#REF!</definedName>
    <definedName name="pfi_ser_charg_on">#REF!</definedName>
    <definedName name="pfi_ser_chgs">#REF!</definedName>
    <definedName name="pfi_ser_chgs_on">#REF!</definedName>
    <definedName name="pfi_service_off">#REF!</definedName>
    <definedName name="pgo_fees">#REF!</definedName>
    <definedName name="PL_disposal">#REF!</definedName>
    <definedName name="PopCache_GL_INTERFACE_REFERENCE7">[2]PopCache_Sheet1!$A$1:$A$2</definedName>
    <definedName name="_xlnm.Print_Area" localSheetId="1">'T1_Contracted Prisons'!$A$1:$G$57</definedName>
    <definedName name="_xlnm.Print_Area" localSheetId="2">'T2_Supplementary Data'!$A$1:$J$67</definedName>
    <definedName name="property_rent">#REF!</definedName>
    <definedName name="prov_bad">#REF!</definedName>
    <definedName name="prov_prov">#REF!</definedName>
    <definedName name="Provn_inc_dec">#REF!</definedName>
    <definedName name="R_and_D">#REF!</definedName>
    <definedName name="rental_income">#REF!</definedName>
    <definedName name="rentals">#REF!</definedName>
    <definedName name="Salary_costs">#REF!</definedName>
    <definedName name="secondments_in">#REF!</definedName>
    <definedName name="secondments_out">#REF!</definedName>
    <definedName name="soc_sec_costs">#REF!</definedName>
    <definedName name="social_sec">#REF!</definedName>
    <definedName name="Spare">#REF!</definedName>
    <definedName name="Spare3">#REF!</definedName>
    <definedName name="Staff_Numbers__FTE">#REF!</definedName>
    <definedName name="staff_training">#REF!</definedName>
    <definedName name="Summary">#REF!</definedName>
    <definedName name="sundry_income">#REF!</definedName>
    <definedName name="T_and_S">#REF!</definedName>
    <definedName name="TableName">"Dummy"</definedName>
    <definedName name="tsol">[3]Sheet2!$F$13:$Q$135</definedName>
    <definedName name="wages_and_sal">#REF!</definedName>
    <definedName name="wages_sal">#REF!</definedName>
    <definedName name="XA">#REF!</definedName>
  </definedNames>
  <calcPr calcId="152511"/>
</workbook>
</file>

<file path=xl/sharedStrings.xml><?xml version="1.0" encoding="utf-8"?>
<sst xmlns="http://schemas.openxmlformats.org/spreadsheetml/2006/main" count="167" uniqueCount="102">
  <si>
    <t>Costs per place and costs per prisoner</t>
  </si>
  <si>
    <t xml:space="preserve">National Offender Management Service </t>
  </si>
  <si>
    <t>Management Information Addendum</t>
  </si>
  <si>
    <t>Ministry of Justice</t>
  </si>
  <si>
    <t>Information Release</t>
  </si>
  <si>
    <t>Cost per Place</t>
  </si>
  <si>
    <t>Cost per Prisoner</t>
  </si>
  <si>
    <t>Certified Normal Accommodation</t>
  </si>
  <si>
    <t>Average Population</t>
  </si>
  <si>
    <t>Direct Resource Expenditure</t>
  </si>
  <si>
    <t>Overall Resource Expenditure</t>
  </si>
  <si>
    <t>Place</t>
  </si>
  <si>
    <t>Female local</t>
  </si>
  <si>
    <t>Male local</t>
  </si>
  <si>
    <t>Averages and Expenditure figures have been rounded to the nearest integer. Totals were formed from unrounded figures and therefore may not equal the sum of the rounded parts.</t>
  </si>
  <si>
    <t>Public Sector Prisons</t>
  </si>
  <si>
    <t>Dovegate</t>
  </si>
  <si>
    <t>Lowdham Grange</t>
  </si>
  <si>
    <t>Rye Hill</t>
  </si>
  <si>
    <t>Oakwood</t>
  </si>
  <si>
    <t>Parc</t>
  </si>
  <si>
    <t>Bronzefield</t>
  </si>
  <si>
    <t>Ashfield</t>
  </si>
  <si>
    <t>Altcourse</t>
  </si>
  <si>
    <t>Doncaster</t>
  </si>
  <si>
    <t>Forest Bank</t>
  </si>
  <si>
    <t>G4S Birmingham</t>
  </si>
  <si>
    <t>Peterborough</t>
  </si>
  <si>
    <t>Thameside</t>
  </si>
  <si>
    <t>Operate &amp; Maintain Prisons</t>
  </si>
  <si>
    <t>Total</t>
  </si>
  <si>
    <t>Notes</t>
  </si>
  <si>
    <t>Contract start date</t>
  </si>
  <si>
    <t>PFI Prisons</t>
  </si>
  <si>
    <t>Male Cat B</t>
  </si>
  <si>
    <t>Sep 1999</t>
  </si>
  <si>
    <t>Nov 1996</t>
  </si>
  <si>
    <t>Jul 1999</t>
  </si>
  <si>
    <t>Male Cat C</t>
  </si>
  <si>
    <t>Dec 1995</t>
  </si>
  <si>
    <t>Jul 1998</t>
  </si>
  <si>
    <t>Feb 2003</t>
  </si>
  <si>
    <t>Mar 2012</t>
  </si>
  <si>
    <t>Jun 1998</t>
  </si>
  <si>
    <t>Dec 2002</t>
  </si>
  <si>
    <t>PFI Prisons Total</t>
  </si>
  <si>
    <t>Oct 2011</t>
  </si>
  <si>
    <t>Apr 2012</t>
  </si>
  <si>
    <t>Operate &amp; Maintain Prisons Total</t>
  </si>
  <si>
    <t>OVERALL TOTAL (PFI &amp; O&amp;M Prisons)</t>
  </si>
  <si>
    <t>Averages and Expenditure figures have been rounded to the nearest integer.</t>
  </si>
  <si>
    <t>Totals were formed from unrounded figures and therefore may not equal the sum of the rounded parts.</t>
  </si>
  <si>
    <t>Male</t>
  </si>
  <si>
    <t>Female</t>
  </si>
  <si>
    <t>Adult</t>
  </si>
  <si>
    <t>YOI</t>
  </si>
  <si>
    <t>Contracted Prisons</t>
  </si>
  <si>
    <t>Payroll</t>
  </si>
  <si>
    <t>Non Pay:</t>
  </si>
  <si>
    <t>- Non payroll services</t>
  </si>
  <si>
    <t>- Staff related costs</t>
  </si>
  <si>
    <t>- Admin running costs</t>
  </si>
  <si>
    <t>- Accommodation related</t>
  </si>
  <si>
    <t>- Depreciation of plant &amp; equipment</t>
  </si>
  <si>
    <t>- Other</t>
  </si>
  <si>
    <t>Income</t>
  </si>
  <si>
    <t>Depreciation of buildings and central ICT</t>
  </si>
  <si>
    <t>Rates and Rent</t>
  </si>
  <si>
    <t>Property overheads (major maintenance)</t>
  </si>
  <si>
    <t>Regional overheads</t>
  </si>
  <si>
    <t>PECS apportionment</t>
  </si>
  <si>
    <t>HQ overheads</t>
  </si>
  <si>
    <t>1.  These figures are based on the majority use of whole prisons.  Where a prison holds a mix of prisoners, all prisoners are allocated to the majority category.</t>
  </si>
  <si>
    <t>2.  The public sector and private sector costs are not directly comparable because of differences in accounting treatment and scope of services.</t>
  </si>
  <si>
    <r>
      <t>Male and Female Prisons</t>
    </r>
    <r>
      <rPr>
        <b/>
        <vertAlign val="superscript"/>
        <sz val="11"/>
        <rFont val="Arial"/>
        <family val="2"/>
      </rPr>
      <t>1</t>
    </r>
  </si>
  <si>
    <r>
      <t>Adult and YOI Prisons</t>
    </r>
    <r>
      <rPr>
        <b/>
        <vertAlign val="superscript"/>
        <sz val="11"/>
        <rFont val="Arial"/>
        <family val="2"/>
      </rPr>
      <t>1</t>
    </r>
  </si>
  <si>
    <r>
      <t>Public Sector and Contracted Prisons</t>
    </r>
    <r>
      <rPr>
        <b/>
        <vertAlign val="superscript"/>
        <sz val="11"/>
        <rFont val="Arial"/>
        <family val="2"/>
      </rPr>
      <t>2</t>
    </r>
  </si>
  <si>
    <t>Sodexo Northumberland</t>
  </si>
  <si>
    <t>Dec 2013</t>
  </si>
  <si>
    <t>- The public sector &amp; private sector costs are not directly comparable because of differences in accounting treatment and scope of services</t>
  </si>
  <si>
    <t xml:space="preserve">   e.g. PFI prisons include a charge for interest on capital and most private sector prisons include healthcare costs.</t>
  </si>
  <si>
    <t>England and Wales Prisons</t>
  </si>
  <si>
    <t>Prisons in England</t>
  </si>
  <si>
    <t>England</t>
  </si>
  <si>
    <t>Wales</t>
  </si>
  <si>
    <t>Prisons in Wales</t>
  </si>
  <si>
    <r>
      <t xml:space="preserve">Contracted Prisons </t>
    </r>
    <r>
      <rPr>
        <i/>
        <sz val="11"/>
        <rFont val="Arial"/>
        <family val="2"/>
      </rPr>
      <t>(14 establishments)</t>
    </r>
  </si>
  <si>
    <t>Annual Report and Accounts 2016-17</t>
  </si>
  <si>
    <t>Published 26 October 2017</t>
  </si>
  <si>
    <t>Source: HM Prison &amp; Probation Service</t>
  </si>
  <si>
    <t>2016-17 Supplementary information</t>
  </si>
  <si>
    <t>Table 1a: Comparison of Public Sector and Contracted Prisons 2016-17</t>
  </si>
  <si>
    <t>2016/17 Summary between Public Sector &amp; Contracted Prisons</t>
  </si>
  <si>
    <t>- The number of establishments reported against both public and private sector prisons are those by their main type as at the end of 2016-17.</t>
  </si>
  <si>
    <t>Table 1b: Comparison of Contracted (PFI and Operate &amp; Manage) Prisons 2016-17</t>
  </si>
  <si>
    <t>2016/17 PFI and Operate &amp; Maintain Prisons</t>
  </si>
  <si>
    <r>
      <t>Public Prisons</t>
    </r>
    <r>
      <rPr>
        <i/>
        <sz val="11"/>
        <rFont val="Arial"/>
        <family val="2"/>
      </rPr>
      <t xml:space="preserve"> (108 establishments)</t>
    </r>
  </si>
  <si>
    <t>Table 2: Supplementary Information 2016-17</t>
  </si>
  <si>
    <t>Breakdown of 2016/17 Expenditure and Unit Cost</t>
  </si>
  <si>
    <t>2016/17 Totals</t>
  </si>
  <si>
    <t>- Prisoner related costs</t>
  </si>
  <si>
    <t>- Service Concession Arrangements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</si>
</sst>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_-* #,##0_-;\-* #,##0_-;_-* &quot;-&quot;??_-;_-@_-"/>
    <numFmt numFmtId="165" formatCode="&quot;£&quot;#,##0"/>
    <numFmt numFmtId="166" formatCode="&quot;£&quot;#,##0.000&quot;m&quot;"/>
    <numFmt numFmtId="167" formatCode="#,##0_);[Red]\(#,##0\);\-_)"/>
    <numFmt numFmtId="168" formatCode="0.0_)%;[Red]\(0.0%\);0.0_)%"/>
    <numFmt numFmtId="169" formatCode="[Magenta]&quot;Err&quot;;[Magenta]&quot;Err&quot;;[Blue]&quot;OK&quot;"/>
    <numFmt numFmtId="170" formatCode="[Red][&gt;1]&quot;&gt;100 %&quot;;[Red]\(0.0%\);0.0_)%"/>
    <numFmt numFmtId="171" formatCode="General\ &quot;.&quot;"/>
  </numFmts>
  <fonts count="39">
    <font>
      <sz val="11"/>
      <name val="Times New Roman"/>
    </font>
    <font>
      <sz val="11"/>
      <name val="Times New Roman"/>
      <family val="1"/>
    </font>
    <font>
      <sz val="10"/>
      <color indexed="8"/>
      <name val="MS Sans Serif"/>
    </font>
    <font>
      <sz val="10"/>
      <name val="Arial"/>
      <family val="2"/>
    </font>
    <font>
      <sz val="10"/>
      <color indexed="8"/>
      <name val="MS Sans Serif"/>
      <family val="2"/>
    </font>
    <font>
      <sz val="10"/>
      <name val="Arial"/>
      <family val="2"/>
    </font>
    <font>
      <sz val="11"/>
      <color indexed="63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2"/>
      <name val="Times New Roman"/>
      <family val="1"/>
    </font>
    <font>
      <sz val="9"/>
      <color indexed="12"/>
      <name val="Arial"/>
      <family val="2"/>
    </font>
    <font>
      <b/>
      <sz val="8"/>
      <color indexed="12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0.5"/>
      <color indexed="8"/>
      <name val="Arial"/>
      <family val="2"/>
    </font>
    <font>
      <i/>
      <sz val="10"/>
      <color indexed="8"/>
      <name val="Arial"/>
      <family val="2"/>
    </font>
    <font>
      <sz val="10"/>
      <color indexed="12"/>
      <name val="Arial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8"/>
      <name val="Arial"/>
      <family val="2"/>
    </font>
    <font>
      <sz val="8"/>
      <name val="Times New Roman"/>
      <family val="1"/>
    </font>
    <font>
      <sz val="26"/>
      <color indexed="8"/>
      <name val="Arial"/>
      <family val="2"/>
    </font>
    <font>
      <sz val="22"/>
      <color indexed="8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indexed="9"/>
      <name val="Arial"/>
      <family val="2"/>
    </font>
    <font>
      <i/>
      <sz val="11"/>
      <name val="Arial"/>
      <family val="2"/>
    </font>
    <font>
      <i/>
      <sz val="9"/>
      <name val="Arial"/>
      <family val="2"/>
    </font>
    <font>
      <u/>
      <sz val="11"/>
      <name val="Arial"/>
      <family val="2"/>
    </font>
    <font>
      <sz val="9"/>
      <name val="Arial"/>
      <family val="2"/>
    </font>
    <font>
      <sz val="1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8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42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26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2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2" borderId="1" applyNumberFormat="0" applyAlignment="0" applyProtection="0"/>
    <xf numFmtId="0" fontId="10" fillId="16" borderId="2" applyNumberFormat="0" applyAlignment="0" applyProtection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16" borderId="0" applyNumberFormat="0" applyFont="0" applyBorder="0" applyAlignment="0" applyProtection="0"/>
    <xf numFmtId="0" fontId="13" fillId="0" borderId="0" applyNumberFormat="0" applyFill="0" applyBorder="0" applyAlignment="0" applyProtection="0"/>
    <xf numFmtId="169" fontId="14" fillId="0" borderId="0" applyFill="0" applyBorder="0"/>
    <xf numFmtId="15" fontId="15" fillId="0" borderId="0" applyFill="0" applyBorder="0" applyProtection="0">
      <alignment horizontal="center"/>
    </xf>
    <xf numFmtId="0" fontId="12" fillId="15" borderId="0" applyNumberFormat="0" applyFont="0" applyBorder="0" applyAlignment="0" applyProtection="0"/>
    <xf numFmtId="171" fontId="16" fillId="6" borderId="3" applyAlignment="0" applyProtection="0"/>
    <xf numFmtId="167" fontId="17" fillId="0" borderId="0" applyNumberFormat="0" applyFill="0" applyBorder="0" applyAlignment="0" applyProtection="0"/>
    <xf numFmtId="167" fontId="18" fillId="0" borderId="0" applyNumberFormat="0" applyFill="0" applyBorder="0" applyAlignment="0" applyProtection="0"/>
    <xf numFmtId="15" fontId="19" fillId="17" borderId="4">
      <alignment horizontal="center"/>
      <protection locked="0"/>
    </xf>
    <xf numFmtId="168" fontId="19" fillId="17" borderId="4" applyAlignment="0">
      <protection locked="0"/>
    </xf>
    <xf numFmtId="167" fontId="19" fillId="17" borderId="4" applyAlignment="0">
      <protection locked="0"/>
    </xf>
    <xf numFmtId="167" fontId="15" fillId="0" borderId="0" applyFill="0" applyBorder="0" applyAlignment="0" applyProtection="0"/>
    <xf numFmtId="168" fontId="15" fillId="0" borderId="0" applyFill="0" applyBorder="0" applyAlignment="0" applyProtection="0"/>
    <xf numFmtId="170" fontId="15" fillId="0" borderId="0" applyFill="0" applyBorder="0" applyAlignment="0" applyProtection="0"/>
    <xf numFmtId="0" fontId="12" fillId="0" borderId="5" applyNumberFormat="0" applyFont="0" applyAlignment="0" applyProtection="0"/>
    <xf numFmtId="0" fontId="12" fillId="0" borderId="6" applyNumberFormat="0" applyFont="0" applyAlignment="0" applyProtection="0"/>
    <xf numFmtId="0" fontId="12" fillId="18" borderId="0" applyNumberFormat="0" applyFont="0" applyBorder="0" applyAlignment="0" applyProtection="0"/>
    <xf numFmtId="0" fontId="12" fillId="0" borderId="0" applyFont="0" applyFill="0" applyBorder="0" applyAlignment="0" applyProtection="0"/>
    <xf numFmtId="0" fontId="20" fillId="19" borderId="0" applyNumberFormat="0" applyBorder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1" fillId="3" borderId="1" applyNumberFormat="0" applyAlignment="0" applyProtection="0"/>
    <xf numFmtId="0" fontId="1" fillId="0" borderId="10" applyNumberFormat="0" applyFill="0" applyAlignment="0" applyProtection="0"/>
    <xf numFmtId="0" fontId="1" fillId="8" borderId="0" applyNumberFormat="0" applyBorder="0" applyAlignment="0" applyProtection="0"/>
    <xf numFmtId="0" fontId="5" fillId="0" borderId="0"/>
    <xf numFmtId="0" fontId="3" fillId="0" borderId="0"/>
    <xf numFmtId="0" fontId="2" fillId="0" borderId="0"/>
    <xf numFmtId="0" fontId="5" fillId="4" borderId="11" applyNumberFormat="0" applyFont="0" applyAlignment="0" applyProtection="0"/>
    <xf numFmtId="0" fontId="1" fillId="2" borderId="12" applyNumberFormat="0" applyAlignment="0" applyProtection="0"/>
    <xf numFmtId="40" fontId="1" fillId="20" borderId="0">
      <alignment horizontal="right"/>
    </xf>
    <xf numFmtId="0" fontId="1" fillId="20" borderId="0">
      <alignment horizontal="right"/>
    </xf>
    <xf numFmtId="0" fontId="1" fillId="20" borderId="13"/>
    <xf numFmtId="0" fontId="1" fillId="0" borderId="0" applyBorder="0">
      <alignment horizontal="centerContinuous"/>
    </xf>
    <xf numFmtId="0" fontId="1" fillId="0" borderId="0" applyBorder="0">
      <alignment horizontal="centerContinuous"/>
    </xf>
    <xf numFmtId="0" fontId="4" fillId="0" borderId="0"/>
    <xf numFmtId="49" fontId="24" fillId="0" borderId="14" applyBorder="0">
      <alignment horizontal="center" vertical="center" wrapText="1"/>
    </xf>
    <xf numFmtId="49" fontId="12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15" applyNumberFormat="0" applyFill="0" applyAlignment="0" applyProtection="0"/>
    <xf numFmtId="0" fontId="1" fillId="0" borderId="0" applyNumberFormat="0" applyFill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</cellStyleXfs>
  <cellXfs count="193">
    <xf numFmtId="0" fontId="0" fillId="0" borderId="0" xfId="0"/>
    <xf numFmtId="0" fontId="26" fillId="20" borderId="0" xfId="96" applyFont="1" applyFill="1"/>
    <xf numFmtId="0" fontId="27" fillId="20" borderId="0" xfId="96" applyFont="1" applyFill="1"/>
    <xf numFmtId="0" fontId="27" fillId="20" borderId="0" xfId="96" quotePrefix="1" applyFont="1" applyFill="1" applyAlignment="1">
      <alignment horizontal="left"/>
    </xf>
    <xf numFmtId="0" fontId="29" fillId="20" borderId="0" xfId="96" applyFont="1" applyFill="1" applyBorder="1" applyAlignment="1">
      <alignment horizontal="left" vertical="center"/>
    </xf>
    <xf numFmtId="0" fontId="30" fillId="20" borderId="0" xfId="96" applyFont="1" applyFill="1" applyAlignment="1">
      <alignment horizontal="left" vertical="center" indent="1"/>
    </xf>
    <xf numFmtId="0" fontId="30" fillId="20" borderId="0" xfId="96" applyFont="1" applyFill="1" applyAlignment="1">
      <alignment vertical="center"/>
    </xf>
    <xf numFmtId="0" fontId="29" fillId="20" borderId="0" xfId="96" quotePrefix="1" applyFont="1" applyFill="1" applyBorder="1" applyAlignment="1">
      <alignment horizontal="left" vertical="center"/>
    </xf>
    <xf numFmtId="0" fontId="30" fillId="20" borderId="0" xfId="96" applyFont="1" applyFill="1" applyBorder="1" applyAlignment="1">
      <alignment vertical="center"/>
    </xf>
    <xf numFmtId="165" fontId="5" fillId="20" borderId="0" xfId="96" applyNumberFormat="1" applyFont="1" applyFill="1" applyAlignment="1">
      <alignment vertical="center"/>
    </xf>
    <xf numFmtId="165" fontId="30" fillId="20" borderId="0" xfId="96" applyNumberFormat="1" applyFont="1" applyFill="1" applyAlignment="1">
      <alignment horizontal="right" vertical="center"/>
    </xf>
    <xf numFmtId="165" fontId="30" fillId="20" borderId="0" xfId="96" applyNumberFormat="1" applyFont="1" applyFill="1" applyAlignment="1">
      <alignment vertical="center"/>
    </xf>
    <xf numFmtId="165" fontId="30" fillId="20" borderId="0" xfId="96" quotePrefix="1" applyNumberFormat="1" applyFont="1" applyFill="1" applyAlignment="1">
      <alignment horizontal="left" vertical="center"/>
    </xf>
    <xf numFmtId="165" fontId="30" fillId="20" borderId="0" xfId="96" applyNumberFormat="1" applyFont="1" applyFill="1" applyBorder="1" applyAlignment="1">
      <alignment vertical="center"/>
    </xf>
    <xf numFmtId="0" fontId="5" fillId="20" borderId="0" xfId="96" applyFont="1" applyFill="1" applyAlignment="1">
      <alignment vertical="center"/>
    </xf>
    <xf numFmtId="0" fontId="30" fillId="20" borderId="18" xfId="97" quotePrefix="1" applyFont="1" applyFill="1" applyBorder="1" applyAlignment="1">
      <alignment horizontal="left" vertical="center" wrapText="1" indent="1"/>
    </xf>
    <xf numFmtId="3" fontId="30" fillId="20" borderId="0" xfId="97" applyNumberFormat="1" applyFont="1" applyFill="1" applyBorder="1" applyAlignment="1">
      <alignment horizontal="right" vertical="center" wrapText="1"/>
    </xf>
    <xf numFmtId="165" fontId="30" fillId="20" borderId="19" xfId="97" applyNumberFormat="1" applyFont="1" applyFill="1" applyBorder="1" applyAlignment="1">
      <alignment horizontal="right" vertical="center" wrapText="1"/>
    </xf>
    <xf numFmtId="165" fontId="30" fillId="20" borderId="18" xfId="97" applyNumberFormat="1" applyFont="1" applyFill="1" applyBorder="1" applyAlignment="1">
      <alignment horizontal="right" vertical="center" wrapText="1"/>
    </xf>
    <xf numFmtId="165" fontId="30" fillId="20" borderId="13" xfId="97" applyNumberFormat="1" applyFont="1" applyFill="1" applyBorder="1" applyAlignment="1">
      <alignment horizontal="right" vertical="center" wrapText="1"/>
    </xf>
    <xf numFmtId="3" fontId="30" fillId="20" borderId="0" xfId="96" applyNumberFormat="1" applyFont="1" applyFill="1" applyAlignment="1">
      <alignment vertical="center"/>
    </xf>
    <xf numFmtId="164" fontId="30" fillId="20" borderId="0" xfId="67" applyNumberFormat="1" applyFont="1" applyFill="1" applyBorder="1" applyAlignment="1">
      <alignment vertical="center"/>
    </xf>
    <xf numFmtId="165" fontId="30" fillId="20" borderId="0" xfId="96" applyNumberFormat="1" applyFont="1" applyFill="1" applyAlignment="1">
      <alignment horizontal="center" vertical="center"/>
    </xf>
    <xf numFmtId="165" fontId="31" fillId="20" borderId="0" xfId="96" applyNumberFormat="1" applyFont="1" applyFill="1" applyAlignment="1">
      <alignment horizontal="right" vertical="center"/>
    </xf>
    <xf numFmtId="0" fontId="30" fillId="20" borderId="0" xfId="96" quotePrefix="1" applyFont="1" applyFill="1" applyAlignment="1">
      <alignment horizontal="left" vertical="center" indent="1"/>
    </xf>
    <xf numFmtId="3" fontId="30" fillId="20" borderId="0" xfId="96" applyNumberFormat="1" applyFont="1" applyFill="1" applyBorder="1" applyAlignment="1">
      <alignment vertical="center"/>
    </xf>
    <xf numFmtId="165" fontId="30" fillId="20" borderId="22" xfId="97" applyNumberFormat="1" applyFont="1" applyFill="1" applyBorder="1" applyAlignment="1">
      <alignment horizontal="right" vertical="center" wrapText="1"/>
    </xf>
    <xf numFmtId="165" fontId="30" fillId="20" borderId="23" xfId="97" applyNumberFormat="1" applyFont="1" applyFill="1" applyBorder="1" applyAlignment="1">
      <alignment horizontal="right" vertical="center" wrapText="1"/>
    </xf>
    <xf numFmtId="165" fontId="30" fillId="20" borderId="16" xfId="97" applyNumberFormat="1" applyFont="1" applyFill="1" applyBorder="1" applyAlignment="1">
      <alignment horizontal="right" vertical="center" wrapText="1"/>
    </xf>
    <xf numFmtId="165" fontId="30" fillId="20" borderId="0" xfId="96" applyNumberFormat="1" applyFont="1" applyFill="1" applyBorder="1" applyAlignment="1">
      <alignment horizontal="right" vertical="center"/>
    </xf>
    <xf numFmtId="0" fontId="30" fillId="20" borderId="18" xfId="97" applyFont="1" applyFill="1" applyBorder="1" applyAlignment="1">
      <alignment horizontal="left" vertical="center" wrapText="1" indent="1"/>
    </xf>
    <xf numFmtId="3" fontId="31" fillId="20" borderId="0" xfId="97" applyNumberFormat="1" applyFont="1" applyFill="1" applyBorder="1" applyAlignment="1">
      <alignment horizontal="right" vertical="center" wrapText="1"/>
    </xf>
    <xf numFmtId="0" fontId="3" fillId="20" borderId="0" xfId="96" applyFill="1" applyBorder="1"/>
    <xf numFmtId="0" fontId="3" fillId="20" borderId="0" xfId="96" applyFill="1"/>
    <xf numFmtId="3" fontId="30" fillId="20" borderId="18" xfId="97" applyNumberFormat="1" applyFont="1" applyFill="1" applyBorder="1" applyAlignment="1">
      <alignment horizontal="right" vertical="center" wrapText="1"/>
    </xf>
    <xf numFmtId="164" fontId="30" fillId="20" borderId="0" xfId="67" applyNumberFormat="1" applyFont="1" applyFill="1" applyAlignment="1">
      <alignment vertical="center"/>
    </xf>
    <xf numFmtId="43" fontId="35" fillId="20" borderId="0" xfId="67" applyFont="1" applyFill="1" applyAlignment="1">
      <alignment horizontal="right" vertical="center"/>
    </xf>
    <xf numFmtId="0" fontId="30" fillId="20" borderId="0" xfId="96" quotePrefix="1" applyFont="1" applyFill="1" applyAlignment="1">
      <alignment horizontal="left" vertical="center" indent="2"/>
    </xf>
    <xf numFmtId="3" fontId="30" fillId="20" borderId="31" xfId="97" applyNumberFormat="1" applyFont="1" applyFill="1" applyBorder="1" applyAlignment="1">
      <alignment horizontal="right" vertical="center" wrapText="1"/>
    </xf>
    <xf numFmtId="3" fontId="30" fillId="20" borderId="28" xfId="97" applyNumberFormat="1" applyFont="1" applyFill="1" applyBorder="1" applyAlignment="1">
      <alignment horizontal="right" vertical="center" wrapText="1"/>
    </xf>
    <xf numFmtId="0" fontId="30" fillId="20" borderId="18" xfId="0" quotePrefix="1" applyFont="1" applyFill="1" applyBorder="1" applyAlignment="1">
      <alignment horizontal="left" vertical="center" indent="1"/>
    </xf>
    <xf numFmtId="0" fontId="30" fillId="20" borderId="23" xfId="0" quotePrefix="1" applyFont="1" applyFill="1" applyBorder="1" applyAlignment="1">
      <alignment horizontal="left" vertical="center" indent="1"/>
    </xf>
    <xf numFmtId="164" fontId="30" fillId="20" borderId="18" xfId="67" applyNumberFormat="1" applyFont="1" applyFill="1" applyBorder="1" applyAlignment="1">
      <alignment vertical="center"/>
    </xf>
    <xf numFmtId="165" fontId="30" fillId="20" borderId="19" xfId="67" applyNumberFormat="1" applyFont="1" applyFill="1" applyBorder="1" applyAlignment="1">
      <alignment vertical="center"/>
    </xf>
    <xf numFmtId="165" fontId="30" fillId="20" borderId="18" xfId="0" applyNumberFormat="1" applyFont="1" applyFill="1" applyBorder="1" applyAlignment="1">
      <alignment horizontal="right" vertical="center"/>
    </xf>
    <xf numFmtId="165" fontId="30" fillId="20" borderId="13" xfId="0" applyNumberFormat="1" applyFont="1" applyFill="1" applyBorder="1" applyAlignment="1">
      <alignment horizontal="right" vertical="center"/>
    </xf>
    <xf numFmtId="0" fontId="30" fillId="20" borderId="17" xfId="0" quotePrefix="1" applyFont="1" applyFill="1" applyBorder="1" applyAlignment="1">
      <alignment horizontal="left" vertical="center" indent="1"/>
    </xf>
    <xf numFmtId="0" fontId="30" fillId="20" borderId="13" xfId="0" quotePrefix="1" applyFont="1" applyFill="1" applyBorder="1" applyAlignment="1">
      <alignment horizontal="left" vertical="center" indent="1"/>
    </xf>
    <xf numFmtId="0" fontId="31" fillId="22" borderId="17" xfId="0" applyFont="1" applyFill="1" applyBorder="1" applyAlignment="1">
      <alignment horizontal="left" vertical="center" indent="1"/>
    </xf>
    <xf numFmtId="0" fontId="31" fillId="22" borderId="26" xfId="0" applyFont="1" applyFill="1" applyBorder="1" applyAlignment="1">
      <alignment horizontal="left" vertical="center" indent="1"/>
    </xf>
    <xf numFmtId="164" fontId="31" fillId="22" borderId="25" xfId="0" applyNumberFormat="1" applyFont="1" applyFill="1" applyBorder="1" applyAlignment="1">
      <alignment vertical="center"/>
    </xf>
    <xf numFmtId="164" fontId="31" fillId="22" borderId="3" xfId="0" applyNumberFormat="1" applyFont="1" applyFill="1" applyBorder="1" applyAlignment="1">
      <alignment vertical="center"/>
    </xf>
    <xf numFmtId="165" fontId="31" fillId="22" borderId="24" xfId="0" applyNumberFormat="1" applyFont="1" applyFill="1" applyBorder="1" applyAlignment="1">
      <alignment vertical="center"/>
    </xf>
    <xf numFmtId="165" fontId="31" fillId="22" borderId="25" xfId="0" applyNumberFormat="1" applyFont="1" applyFill="1" applyBorder="1" applyAlignment="1">
      <alignment vertical="center"/>
    </xf>
    <xf numFmtId="165" fontId="31" fillId="22" borderId="26" xfId="0" applyNumberFormat="1" applyFont="1" applyFill="1" applyBorder="1" applyAlignment="1">
      <alignment vertical="center"/>
    </xf>
    <xf numFmtId="0" fontId="31" fillId="20" borderId="0" xfId="96" quotePrefix="1" applyFont="1" applyFill="1" applyBorder="1" applyAlignment="1">
      <alignment horizontal="left" vertical="center"/>
    </xf>
    <xf numFmtId="166" fontId="33" fillId="20" borderId="0" xfId="96" applyNumberFormat="1" applyFont="1" applyFill="1" applyBorder="1" applyAlignment="1">
      <alignment vertical="center"/>
    </xf>
    <xf numFmtId="166" fontId="30" fillId="20" borderId="0" xfId="96" applyNumberFormat="1" applyFont="1" applyFill="1" applyBorder="1" applyAlignment="1">
      <alignment vertical="center"/>
    </xf>
    <xf numFmtId="0" fontId="31" fillId="20" borderId="19" xfId="0" applyFont="1" applyFill="1" applyBorder="1" applyAlignment="1">
      <alignment horizontal="left" vertical="center"/>
    </xf>
    <xf numFmtId="0" fontId="30" fillId="20" borderId="18" xfId="0" applyFont="1" applyFill="1" applyBorder="1" applyAlignment="1">
      <alignment vertical="center"/>
    </xf>
    <xf numFmtId="0" fontId="30" fillId="20" borderId="0" xfId="0" applyFont="1" applyFill="1" applyBorder="1" applyAlignment="1">
      <alignment vertical="center"/>
    </xf>
    <xf numFmtId="0" fontId="30" fillId="20" borderId="19" xfId="0" applyFont="1" applyFill="1" applyBorder="1" applyAlignment="1">
      <alignment vertical="center"/>
    </xf>
    <xf numFmtId="0" fontId="30" fillId="20" borderId="13" xfId="0" applyFont="1" applyFill="1" applyBorder="1" applyAlignment="1">
      <alignment vertical="center"/>
    </xf>
    <xf numFmtId="0" fontId="36" fillId="20" borderId="19" xfId="0" applyFont="1" applyFill="1" applyBorder="1" applyAlignment="1">
      <alignment horizontal="left" vertical="center" indent="1"/>
    </xf>
    <xf numFmtId="0" fontId="30" fillId="20" borderId="19" xfId="0" applyFont="1" applyFill="1" applyBorder="1" applyAlignment="1">
      <alignment horizontal="left" vertical="center" indent="2"/>
    </xf>
    <xf numFmtId="0" fontId="30" fillId="20" borderId="18" xfId="0" quotePrefix="1" applyFont="1" applyFill="1" applyBorder="1" applyAlignment="1">
      <alignment horizontal="center" vertical="center"/>
    </xf>
    <xf numFmtId="0" fontId="30" fillId="20" borderId="19" xfId="0" quotePrefix="1" applyFont="1" applyFill="1" applyBorder="1" applyAlignment="1">
      <alignment horizontal="left" vertical="center" indent="2"/>
    </xf>
    <xf numFmtId="0" fontId="30" fillId="20" borderId="18" xfId="0" applyFont="1" applyFill="1" applyBorder="1" applyAlignment="1">
      <alignment horizontal="center" vertical="center"/>
    </xf>
    <xf numFmtId="165" fontId="30" fillId="20" borderId="18" xfId="0" applyNumberFormat="1" applyFont="1" applyFill="1" applyBorder="1" applyAlignment="1">
      <alignment vertical="center"/>
    </xf>
    <xf numFmtId="165" fontId="30" fillId="20" borderId="13" xfId="0" applyNumberFormat="1" applyFont="1" applyFill="1" applyBorder="1" applyAlignment="1">
      <alignment vertical="center"/>
    </xf>
    <xf numFmtId="0" fontId="30" fillId="20" borderId="18" xfId="0" quotePrefix="1" applyNumberFormat="1" applyFont="1" applyFill="1" applyBorder="1" applyAlignment="1">
      <alignment horizontal="center" vertical="center"/>
    </xf>
    <xf numFmtId="0" fontId="31" fillId="21" borderId="25" xfId="0" applyFont="1" applyFill="1" applyBorder="1" applyAlignment="1">
      <alignment horizontal="left" vertical="center"/>
    </xf>
    <xf numFmtId="0" fontId="30" fillId="21" borderId="26" xfId="0" applyFont="1" applyFill="1" applyBorder="1" applyAlignment="1">
      <alignment horizontal="center" vertical="center"/>
    </xf>
    <xf numFmtId="164" fontId="31" fillId="21" borderId="25" xfId="67" applyNumberFormat="1" applyFont="1" applyFill="1" applyBorder="1" applyAlignment="1">
      <alignment vertical="center"/>
    </xf>
    <xf numFmtId="164" fontId="31" fillId="21" borderId="3" xfId="67" applyNumberFormat="1" applyFont="1" applyFill="1" applyBorder="1" applyAlignment="1">
      <alignment vertical="center"/>
    </xf>
    <xf numFmtId="165" fontId="31" fillId="21" borderId="24" xfId="67" applyNumberFormat="1" applyFont="1" applyFill="1" applyBorder="1" applyAlignment="1">
      <alignment vertical="center"/>
    </xf>
    <xf numFmtId="165" fontId="31" fillId="21" borderId="25" xfId="67" applyNumberFormat="1" applyFont="1" applyFill="1" applyBorder="1" applyAlignment="1">
      <alignment vertical="center"/>
    </xf>
    <xf numFmtId="165" fontId="31" fillId="21" borderId="26" xfId="67" applyNumberFormat="1" applyFont="1" applyFill="1" applyBorder="1" applyAlignment="1">
      <alignment vertical="center"/>
    </xf>
    <xf numFmtId="0" fontId="30" fillId="20" borderId="19" xfId="0" applyFont="1" applyFill="1" applyBorder="1" applyAlignment="1">
      <alignment horizontal="left" vertical="center"/>
    </xf>
    <xf numFmtId="0" fontId="31" fillId="20" borderId="19" xfId="0" quotePrefix="1" applyFont="1" applyFill="1" applyBorder="1" applyAlignment="1">
      <alignment horizontal="left" vertical="center"/>
    </xf>
    <xf numFmtId="0" fontId="31" fillId="20" borderId="18" xfId="0" quotePrefix="1" applyFont="1" applyFill="1" applyBorder="1" applyAlignment="1">
      <alignment horizontal="center" vertical="center"/>
    </xf>
    <xf numFmtId="0" fontId="31" fillId="21" borderId="25" xfId="0" quotePrefix="1" applyFont="1" applyFill="1" applyBorder="1" applyAlignment="1">
      <alignment horizontal="left" vertical="center"/>
    </xf>
    <xf numFmtId="0" fontId="30" fillId="20" borderId="0" xfId="0" applyFont="1" applyFill="1" applyBorder="1" applyAlignment="1">
      <alignment horizontal="left" vertical="center" indent="1"/>
    </xf>
    <xf numFmtId="165" fontId="30" fillId="20" borderId="0" xfId="0" applyNumberFormat="1" applyFont="1" applyFill="1" applyBorder="1" applyAlignment="1">
      <alignment vertical="center"/>
    </xf>
    <xf numFmtId="0" fontId="31" fillId="22" borderId="24" xfId="0" applyFont="1" applyFill="1" applyBorder="1" applyAlignment="1">
      <alignment horizontal="left" vertical="center"/>
    </xf>
    <xf numFmtId="0" fontId="31" fillId="22" borderId="24" xfId="0" applyFont="1" applyFill="1" applyBorder="1" applyAlignment="1">
      <alignment horizontal="left" vertical="center" indent="1"/>
    </xf>
    <xf numFmtId="3" fontId="30" fillId="20" borderId="0" xfId="96" quotePrefix="1" applyNumberFormat="1" applyFont="1" applyFill="1" applyBorder="1" applyAlignment="1">
      <alignment horizontal="left" vertical="center"/>
    </xf>
    <xf numFmtId="0" fontId="30" fillId="20" borderId="16" xfId="97" applyFont="1" applyFill="1" applyBorder="1" applyAlignment="1">
      <alignment horizontal="left" vertical="center" wrapText="1" indent="1"/>
    </xf>
    <xf numFmtId="0" fontId="30" fillId="20" borderId="31" xfId="97" applyFont="1" applyFill="1" applyBorder="1" applyAlignment="1">
      <alignment horizontal="left" vertical="center" wrapText="1" indent="1"/>
    </xf>
    <xf numFmtId="165" fontId="30" fillId="20" borderId="29" xfId="97" applyNumberFormat="1" applyFont="1" applyFill="1" applyBorder="1" applyAlignment="1">
      <alignment horizontal="right" vertical="center" wrapText="1"/>
    </xf>
    <xf numFmtId="165" fontId="30" fillId="20" borderId="31" xfId="97" applyNumberFormat="1" applyFont="1" applyFill="1" applyBorder="1" applyAlignment="1">
      <alignment horizontal="right" vertical="center" wrapText="1"/>
    </xf>
    <xf numFmtId="165" fontId="30" fillId="20" borderId="30" xfId="97" applyNumberFormat="1" applyFont="1" applyFill="1" applyBorder="1" applyAlignment="1">
      <alignment horizontal="right" vertical="center" wrapText="1"/>
    </xf>
    <xf numFmtId="0" fontId="30" fillId="20" borderId="16" xfId="97" quotePrefix="1" applyFont="1" applyFill="1" applyBorder="1" applyAlignment="1">
      <alignment horizontal="left" vertical="center" wrapText="1" indent="1"/>
    </xf>
    <xf numFmtId="0" fontId="30" fillId="20" borderId="32" xfId="97" quotePrefix="1" applyFont="1" applyFill="1" applyBorder="1" applyAlignment="1">
      <alignment horizontal="left" vertical="center" wrapText="1" indent="1"/>
    </xf>
    <xf numFmtId="3" fontId="30" fillId="20" borderId="32" xfId="97" applyNumberFormat="1" applyFont="1" applyFill="1" applyBorder="1" applyAlignment="1">
      <alignment horizontal="right" vertical="center" wrapText="1"/>
    </xf>
    <xf numFmtId="3" fontId="30" fillId="20" borderId="33" xfId="97" applyNumberFormat="1" applyFont="1" applyFill="1" applyBorder="1" applyAlignment="1">
      <alignment horizontal="right" vertical="center" wrapText="1"/>
    </xf>
    <xf numFmtId="0" fontId="37" fillId="23" borderId="18" xfId="97" quotePrefix="1" applyFont="1" applyFill="1" applyBorder="1" applyAlignment="1">
      <alignment horizontal="left" vertical="center" wrapText="1" indent="2"/>
    </xf>
    <xf numFmtId="3" fontId="37" fillId="23" borderId="18" xfId="97" applyNumberFormat="1" applyFont="1" applyFill="1" applyBorder="1" applyAlignment="1">
      <alignment horizontal="right" vertical="center" wrapText="1"/>
    </xf>
    <xf numFmtId="3" fontId="37" fillId="23" borderId="0" xfId="97" applyNumberFormat="1" applyFont="1" applyFill="1" applyBorder="1" applyAlignment="1">
      <alignment horizontal="right" vertical="center" wrapText="1"/>
    </xf>
    <xf numFmtId="165" fontId="37" fillId="20" borderId="0" xfId="96" applyNumberFormat="1" applyFont="1" applyFill="1" applyAlignment="1">
      <alignment vertical="center"/>
    </xf>
    <xf numFmtId="0" fontId="37" fillId="20" borderId="0" xfId="96" applyFont="1" applyFill="1" applyAlignment="1">
      <alignment vertical="center"/>
    </xf>
    <xf numFmtId="0" fontId="30" fillId="20" borderId="17" xfId="97" quotePrefix="1" applyFont="1" applyFill="1" applyBorder="1" applyAlignment="1">
      <alignment horizontal="left" vertical="center" wrapText="1" indent="1"/>
    </xf>
    <xf numFmtId="3" fontId="30" fillId="20" borderId="17" xfId="97" applyNumberFormat="1" applyFont="1" applyFill="1" applyBorder="1" applyAlignment="1">
      <alignment horizontal="right" vertical="center" wrapText="1"/>
    </xf>
    <xf numFmtId="3" fontId="30" fillId="20" borderId="14" xfId="97" applyNumberFormat="1" applyFont="1" applyFill="1" applyBorder="1" applyAlignment="1">
      <alignment horizontal="right" vertical="center" wrapText="1"/>
    </xf>
    <xf numFmtId="165" fontId="30" fillId="20" borderId="17" xfId="97" applyNumberFormat="1" applyFont="1" applyFill="1" applyBorder="1" applyAlignment="1">
      <alignment horizontal="right" vertical="center" wrapText="1"/>
    </xf>
    <xf numFmtId="165" fontId="30" fillId="20" borderId="27" xfId="97" applyNumberFormat="1" applyFont="1" applyFill="1" applyBorder="1" applyAlignment="1">
      <alignment horizontal="right" vertical="center" wrapText="1"/>
    </xf>
    <xf numFmtId="0" fontId="30" fillId="20" borderId="3" xfId="97" quotePrefix="1" applyFont="1" applyFill="1" applyBorder="1" applyAlignment="1">
      <alignment horizontal="left" vertical="center" wrapText="1" indent="1"/>
    </xf>
    <xf numFmtId="3" fontId="30" fillId="20" borderId="3" xfId="97" applyNumberFormat="1" applyFont="1" applyFill="1" applyBorder="1" applyAlignment="1">
      <alignment horizontal="right" vertical="center" wrapText="1"/>
    </xf>
    <xf numFmtId="0" fontId="31" fillId="20" borderId="31" xfId="97" quotePrefix="1" applyFont="1" applyFill="1" applyBorder="1" applyAlignment="1">
      <alignment horizontal="left" vertical="center" wrapText="1" indent="1"/>
    </xf>
    <xf numFmtId="3" fontId="31" fillId="20" borderId="31" xfId="97" applyNumberFormat="1" applyFont="1" applyFill="1" applyBorder="1" applyAlignment="1">
      <alignment horizontal="right" vertical="center" wrapText="1"/>
    </xf>
    <xf numFmtId="3" fontId="31" fillId="20" borderId="30" xfId="97" applyNumberFormat="1" applyFont="1" applyFill="1" applyBorder="1" applyAlignment="1">
      <alignment horizontal="right" vertical="center" wrapText="1"/>
    </xf>
    <xf numFmtId="165" fontId="31" fillId="20" borderId="29" xfId="97" applyNumberFormat="1" applyFont="1" applyFill="1" applyBorder="1" applyAlignment="1">
      <alignment horizontal="right" vertical="center" wrapText="1"/>
    </xf>
    <xf numFmtId="165" fontId="31" fillId="20" borderId="31" xfId="97" applyNumberFormat="1" applyFont="1" applyFill="1" applyBorder="1" applyAlignment="1">
      <alignment horizontal="right" vertical="center" wrapText="1"/>
    </xf>
    <xf numFmtId="165" fontId="31" fillId="20" borderId="30" xfId="97" applyNumberFormat="1" applyFont="1" applyFill="1" applyBorder="1" applyAlignment="1">
      <alignment horizontal="right" vertical="center" wrapText="1"/>
    </xf>
    <xf numFmtId="0" fontId="31" fillId="20" borderId="0" xfId="97" quotePrefix="1" applyFont="1" applyFill="1" applyBorder="1" applyAlignment="1">
      <alignment horizontal="left" vertical="center" wrapText="1" indent="1"/>
    </xf>
    <xf numFmtId="165" fontId="31" fillId="20" borderId="0" xfId="97" applyNumberFormat="1" applyFont="1" applyFill="1" applyBorder="1" applyAlignment="1">
      <alignment horizontal="right" vertical="center" wrapText="1"/>
    </xf>
    <xf numFmtId="165" fontId="30" fillId="20" borderId="36" xfId="97" applyNumberFormat="1" applyFont="1" applyFill="1" applyBorder="1" applyAlignment="1">
      <alignment horizontal="right" vertical="center" wrapText="1"/>
    </xf>
    <xf numFmtId="165" fontId="30" fillId="20" borderId="38" xfId="97" applyNumberFormat="1" applyFont="1" applyFill="1" applyBorder="1" applyAlignment="1">
      <alignment horizontal="right" vertical="center" wrapText="1"/>
    </xf>
    <xf numFmtId="165" fontId="30" fillId="20" borderId="39" xfId="97" applyNumberFormat="1" applyFont="1" applyFill="1" applyBorder="1" applyAlignment="1">
      <alignment horizontal="right" vertical="center" wrapText="1"/>
    </xf>
    <xf numFmtId="0" fontId="30" fillId="20" borderId="20" xfId="97" applyFont="1" applyFill="1" applyBorder="1" applyAlignment="1">
      <alignment horizontal="left" vertical="center" wrapText="1" indent="1"/>
    </xf>
    <xf numFmtId="0" fontId="31" fillId="20" borderId="31" xfId="97" applyFont="1" applyFill="1" applyBorder="1" applyAlignment="1">
      <alignment horizontal="left" vertical="center" wrapText="1" indent="1"/>
    </xf>
    <xf numFmtId="0" fontId="31" fillId="20" borderId="36" xfId="97" applyFont="1" applyFill="1" applyBorder="1" applyAlignment="1">
      <alignment horizontal="left" vertical="center" wrapText="1" indent="1"/>
    </xf>
    <xf numFmtId="164" fontId="30" fillId="24" borderId="18" xfId="67" applyNumberFormat="1" applyFont="1" applyFill="1" applyBorder="1" applyAlignment="1">
      <alignment vertical="center"/>
    </xf>
    <xf numFmtId="165" fontId="30" fillId="24" borderId="19" xfId="67" applyNumberFormat="1" applyFont="1" applyFill="1" applyBorder="1" applyAlignment="1">
      <alignment vertical="center"/>
    </xf>
    <xf numFmtId="164" fontId="30" fillId="24" borderId="0" xfId="67" applyNumberFormat="1" applyFont="1" applyFill="1" applyBorder="1" applyAlignment="1">
      <alignment vertical="center"/>
    </xf>
    <xf numFmtId="165" fontId="30" fillId="24" borderId="18" xfId="0" applyNumberFormat="1" applyFont="1" applyFill="1" applyBorder="1" applyAlignment="1">
      <alignment horizontal="right" vertical="center"/>
    </xf>
    <xf numFmtId="165" fontId="30" fillId="24" borderId="13" xfId="0" applyNumberFormat="1" applyFont="1" applyFill="1" applyBorder="1" applyAlignment="1">
      <alignment horizontal="right" vertical="center"/>
    </xf>
    <xf numFmtId="165" fontId="30" fillId="24" borderId="18" xfId="0" applyNumberFormat="1" applyFont="1" applyFill="1" applyBorder="1" applyAlignment="1">
      <alignment vertical="center"/>
    </xf>
    <xf numFmtId="165" fontId="30" fillId="24" borderId="13" xfId="0" applyNumberFormat="1" applyFont="1" applyFill="1" applyBorder="1" applyAlignment="1">
      <alignment vertical="center"/>
    </xf>
    <xf numFmtId="3" fontId="30" fillId="24" borderId="16" xfId="97" applyNumberFormat="1" applyFont="1" applyFill="1" applyBorder="1" applyAlignment="1">
      <alignment horizontal="right" vertical="center" wrapText="1"/>
    </xf>
    <xf numFmtId="3" fontId="30" fillId="24" borderId="21" xfId="97" applyNumberFormat="1" applyFont="1" applyFill="1" applyBorder="1" applyAlignment="1">
      <alignment horizontal="right" vertical="center" wrapText="1"/>
    </xf>
    <xf numFmtId="165" fontId="30" fillId="24" borderId="22" xfId="97" applyNumberFormat="1" applyFont="1" applyFill="1" applyBorder="1" applyAlignment="1">
      <alignment horizontal="right" vertical="center" wrapText="1"/>
    </xf>
    <xf numFmtId="3" fontId="30" fillId="24" borderId="31" xfId="97" applyNumberFormat="1" applyFont="1" applyFill="1" applyBorder="1" applyAlignment="1">
      <alignment horizontal="right" vertical="center" wrapText="1"/>
    </xf>
    <xf numFmtId="3" fontId="30" fillId="24" borderId="28" xfId="97" applyNumberFormat="1" applyFont="1" applyFill="1" applyBorder="1" applyAlignment="1">
      <alignment horizontal="right" vertical="center" wrapText="1"/>
    </xf>
    <xf numFmtId="165" fontId="30" fillId="24" borderId="29" xfId="97" applyNumberFormat="1" applyFont="1" applyFill="1" applyBorder="1" applyAlignment="1">
      <alignment horizontal="right" vertical="center" wrapText="1"/>
    </xf>
    <xf numFmtId="0" fontId="3" fillId="24" borderId="0" xfId="96" applyFill="1"/>
    <xf numFmtId="3" fontId="30" fillId="24" borderId="18" xfId="97" applyNumberFormat="1" applyFont="1" applyFill="1" applyBorder="1" applyAlignment="1">
      <alignment horizontal="right" vertical="center" wrapText="1"/>
    </xf>
    <xf numFmtId="165" fontId="30" fillId="24" borderId="19" xfId="97" applyNumberFormat="1" applyFont="1" applyFill="1" applyBorder="1" applyAlignment="1">
      <alignment horizontal="right" vertical="center" wrapText="1"/>
    </xf>
    <xf numFmtId="165" fontId="30" fillId="24" borderId="18" xfId="97" applyNumberFormat="1" applyFont="1" applyFill="1" applyBorder="1" applyAlignment="1">
      <alignment horizontal="right" vertical="center" wrapText="1"/>
    </xf>
    <xf numFmtId="165" fontId="30" fillId="24" borderId="13" xfId="97" applyNumberFormat="1" applyFont="1" applyFill="1" applyBorder="1" applyAlignment="1">
      <alignment horizontal="right" vertical="center" wrapText="1"/>
    </xf>
    <xf numFmtId="165" fontId="30" fillId="24" borderId="0" xfId="96" applyNumberFormat="1" applyFont="1" applyFill="1" applyAlignment="1">
      <alignment horizontal="right" vertical="center"/>
    </xf>
    <xf numFmtId="165" fontId="30" fillId="24" borderId="20" xfId="97" applyNumberFormat="1" applyFont="1" applyFill="1" applyBorder="1" applyAlignment="1">
      <alignment horizontal="right" vertical="center" wrapText="1"/>
    </xf>
    <xf numFmtId="3" fontId="30" fillId="24" borderId="0" xfId="96" applyNumberFormat="1" applyFont="1" applyFill="1" applyBorder="1" applyAlignment="1">
      <alignment vertical="center"/>
    </xf>
    <xf numFmtId="165" fontId="30" fillId="24" borderId="23" xfId="97" applyNumberFormat="1" applyFont="1" applyFill="1" applyBorder="1" applyAlignment="1">
      <alignment horizontal="right" vertical="center" wrapText="1"/>
    </xf>
    <xf numFmtId="165" fontId="30" fillId="24" borderId="16" xfId="97" applyNumberFormat="1" applyFont="1" applyFill="1" applyBorder="1" applyAlignment="1">
      <alignment horizontal="right" vertical="center" wrapText="1"/>
    </xf>
    <xf numFmtId="164" fontId="30" fillId="20" borderId="0" xfId="0" applyNumberFormat="1" applyFont="1" applyFill="1" applyBorder="1" applyAlignment="1">
      <alignment vertical="center"/>
    </xf>
    <xf numFmtId="165" fontId="30" fillId="24" borderId="0" xfId="96" applyNumberFormat="1" applyFont="1" applyFill="1" applyBorder="1" applyAlignment="1">
      <alignment horizontal="right" vertical="center"/>
    </xf>
    <xf numFmtId="165" fontId="30" fillId="24" borderId="31" xfId="97" applyNumberFormat="1" applyFont="1" applyFill="1" applyBorder="1" applyAlignment="1">
      <alignment horizontal="right" vertical="center" wrapText="1"/>
    </xf>
    <xf numFmtId="165" fontId="30" fillId="24" borderId="30" xfId="97" applyNumberFormat="1" applyFont="1" applyFill="1" applyBorder="1" applyAlignment="1">
      <alignment horizontal="right" vertical="center" wrapText="1"/>
    </xf>
    <xf numFmtId="3" fontId="30" fillId="24" borderId="17" xfId="97" applyNumberFormat="1" applyFont="1" applyFill="1" applyBorder="1" applyAlignment="1">
      <alignment horizontal="right" vertical="center" wrapText="1"/>
    </xf>
    <xf numFmtId="3" fontId="30" fillId="24" borderId="22" xfId="97" applyNumberFormat="1" applyFont="1" applyFill="1" applyBorder="1" applyAlignment="1">
      <alignment horizontal="right" vertical="center" wrapText="1"/>
    </xf>
    <xf numFmtId="3" fontId="30" fillId="20" borderId="37" xfId="97" applyNumberFormat="1" applyFont="1" applyFill="1" applyBorder="1" applyAlignment="1">
      <alignment horizontal="right" vertical="center" wrapText="1"/>
    </xf>
    <xf numFmtId="165" fontId="30" fillId="24" borderId="34" xfId="97" applyNumberFormat="1" applyFont="1" applyFill="1" applyBorder="1" applyAlignment="1">
      <alignment horizontal="right" vertical="center" wrapText="1"/>
    </xf>
    <xf numFmtId="165" fontId="30" fillId="24" borderId="32" xfId="97" applyNumberFormat="1" applyFont="1" applyFill="1" applyBorder="1" applyAlignment="1">
      <alignment horizontal="right" vertical="center" wrapText="1"/>
    </xf>
    <xf numFmtId="165" fontId="30" fillId="24" borderId="35" xfId="97" applyNumberFormat="1" applyFont="1" applyFill="1" applyBorder="1" applyAlignment="1">
      <alignment horizontal="right" vertical="center" wrapText="1"/>
    </xf>
    <xf numFmtId="165" fontId="37" fillId="24" borderId="0" xfId="96" applyNumberFormat="1" applyFont="1" applyFill="1" applyAlignment="1">
      <alignment horizontal="right" vertical="center"/>
    </xf>
    <xf numFmtId="165" fontId="30" fillId="24" borderId="17" xfId="97" applyNumberFormat="1" applyFont="1" applyFill="1" applyBorder="1" applyAlignment="1">
      <alignment horizontal="right" vertical="center" wrapText="1"/>
    </xf>
    <xf numFmtId="165" fontId="30" fillId="24" borderId="27" xfId="97" applyNumberFormat="1" applyFont="1" applyFill="1" applyBorder="1" applyAlignment="1">
      <alignment horizontal="right" vertical="center" wrapText="1"/>
    </xf>
    <xf numFmtId="165" fontId="30" fillId="24" borderId="3" xfId="97" applyNumberFormat="1" applyFont="1" applyFill="1" applyBorder="1" applyAlignment="1">
      <alignment horizontal="right" vertical="center" wrapText="1"/>
    </xf>
    <xf numFmtId="0" fontId="37" fillId="25" borderId="18" xfId="97" quotePrefix="1" applyFont="1" applyFill="1" applyBorder="1" applyAlignment="1">
      <alignment horizontal="left" vertical="center" wrapText="1" indent="2"/>
    </xf>
    <xf numFmtId="165" fontId="37" fillId="25" borderId="19" xfId="97" applyNumberFormat="1" applyFont="1" applyFill="1" applyBorder="1" applyAlignment="1">
      <alignment horizontal="right" vertical="center" wrapText="1"/>
    </xf>
    <xf numFmtId="165" fontId="37" fillId="25" borderId="18" xfId="97" applyNumberFormat="1" applyFont="1" applyFill="1" applyBorder="1" applyAlignment="1">
      <alignment horizontal="right" vertical="center" wrapText="1"/>
    </xf>
    <xf numFmtId="165" fontId="37" fillId="25" borderId="13" xfId="97" applyNumberFormat="1" applyFont="1" applyFill="1" applyBorder="1" applyAlignment="1">
      <alignment horizontal="right" vertical="center" wrapText="1"/>
    </xf>
    <xf numFmtId="0" fontId="28" fillId="24" borderId="0" xfId="96" quotePrefix="1" applyFont="1" applyFill="1" applyAlignment="1">
      <alignment horizontal="left"/>
    </xf>
    <xf numFmtId="0" fontId="31" fillId="22" borderId="22" xfId="0" applyFont="1" applyFill="1" applyBorder="1" applyAlignment="1">
      <alignment horizontal="center" vertical="center" wrapText="1"/>
    </xf>
    <xf numFmtId="0" fontId="31" fillId="22" borderId="20" xfId="0" applyFont="1" applyFill="1" applyBorder="1" applyAlignment="1">
      <alignment horizontal="center" vertical="center" wrapText="1"/>
    </xf>
    <xf numFmtId="0" fontId="31" fillId="22" borderId="16" xfId="0" quotePrefix="1" applyFont="1" applyFill="1" applyBorder="1" applyAlignment="1">
      <alignment vertical="center" wrapText="1"/>
    </xf>
    <xf numFmtId="0" fontId="31" fillId="22" borderId="23" xfId="0" quotePrefix="1" applyFont="1" applyFill="1" applyBorder="1" applyAlignment="1">
      <alignment vertical="center" wrapText="1"/>
    </xf>
    <xf numFmtId="0" fontId="31" fillId="22" borderId="17" xfId="0" quotePrefix="1" applyFont="1" applyFill="1" applyBorder="1" applyAlignment="1">
      <alignment vertical="center" wrapText="1"/>
    </xf>
    <xf numFmtId="0" fontId="31" fillId="22" borderId="27" xfId="0" quotePrefix="1" applyFont="1" applyFill="1" applyBorder="1" applyAlignment="1">
      <alignment vertical="center" wrapText="1"/>
    </xf>
    <xf numFmtId="0" fontId="31" fillId="22" borderId="16" xfId="0" applyFont="1" applyFill="1" applyBorder="1" applyAlignment="1">
      <alignment horizontal="right" vertical="center" wrapText="1"/>
    </xf>
    <xf numFmtId="0" fontId="31" fillId="22" borderId="17" xfId="0" applyFont="1" applyFill="1" applyBorder="1" applyAlignment="1">
      <alignment horizontal="right" vertical="center" wrapText="1"/>
    </xf>
    <xf numFmtId="0" fontId="31" fillId="22" borderId="23" xfId="0" applyFont="1" applyFill="1" applyBorder="1" applyAlignment="1">
      <alignment horizontal="right" vertical="center" wrapText="1"/>
    </xf>
    <xf numFmtId="0" fontId="31" fillId="22" borderId="27" xfId="0" applyFont="1" applyFill="1" applyBorder="1" applyAlignment="1">
      <alignment horizontal="right" vertical="center" wrapText="1"/>
    </xf>
    <xf numFmtId="0" fontId="31" fillId="22" borderId="22" xfId="0" applyFont="1" applyFill="1" applyBorder="1" applyAlignment="1">
      <alignment horizontal="right" vertical="center" wrapText="1"/>
    </xf>
    <xf numFmtId="0" fontId="31" fillId="22" borderId="20" xfId="0" applyFont="1" applyFill="1" applyBorder="1" applyAlignment="1">
      <alignment horizontal="right" vertical="center" wrapText="1"/>
    </xf>
    <xf numFmtId="165" fontId="31" fillId="21" borderId="23" xfId="97" applyNumberFormat="1" applyFont="1" applyFill="1" applyBorder="1" applyAlignment="1">
      <alignment horizontal="right" vertical="center" wrapText="1"/>
    </xf>
    <xf numFmtId="165" fontId="31" fillId="21" borderId="27" xfId="97" applyNumberFormat="1" applyFont="1" applyFill="1" applyBorder="1" applyAlignment="1">
      <alignment horizontal="right" vertical="center" wrapText="1"/>
    </xf>
    <xf numFmtId="3" fontId="31" fillId="21" borderId="21" xfId="96" quotePrefix="1" applyNumberFormat="1" applyFont="1" applyFill="1" applyBorder="1" applyAlignment="1">
      <alignment horizontal="right" vertical="center" wrapText="1"/>
    </xf>
    <xf numFmtId="3" fontId="31" fillId="21" borderId="14" xfId="96" applyNumberFormat="1" applyFont="1" applyFill="1" applyBorder="1" applyAlignment="1">
      <alignment horizontal="right" vertical="center" wrapText="1"/>
    </xf>
    <xf numFmtId="3" fontId="31" fillId="21" borderId="23" xfId="96" quotePrefix="1" applyNumberFormat="1" applyFont="1" applyFill="1" applyBorder="1" applyAlignment="1">
      <alignment horizontal="right" vertical="center" wrapText="1"/>
    </xf>
    <xf numFmtId="3" fontId="31" fillId="21" borderId="27" xfId="96" applyNumberFormat="1" applyFont="1" applyFill="1" applyBorder="1" applyAlignment="1">
      <alignment horizontal="right" vertical="center" wrapText="1"/>
    </xf>
    <xf numFmtId="165" fontId="31" fillId="21" borderId="22" xfId="97" applyNumberFormat="1" applyFont="1" applyFill="1" applyBorder="1" applyAlignment="1">
      <alignment horizontal="right" vertical="center" wrapText="1"/>
    </xf>
    <xf numFmtId="165" fontId="31" fillId="21" borderId="20" xfId="97" applyNumberFormat="1" applyFont="1" applyFill="1" applyBorder="1" applyAlignment="1">
      <alignment horizontal="right" vertical="center" wrapText="1"/>
    </xf>
    <xf numFmtId="0" fontId="31" fillId="21" borderId="16" xfId="97" applyFont="1" applyFill="1" applyBorder="1" applyAlignment="1">
      <alignment horizontal="left" vertical="center" wrapText="1"/>
    </xf>
    <xf numFmtId="0" fontId="31" fillId="21" borderId="17" xfId="97" applyFont="1" applyFill="1" applyBorder="1" applyAlignment="1">
      <alignment horizontal="left" vertical="center" wrapText="1"/>
    </xf>
    <xf numFmtId="3" fontId="31" fillId="21" borderId="16" xfId="96" quotePrefix="1" applyNumberFormat="1" applyFont="1" applyFill="1" applyBorder="1" applyAlignment="1">
      <alignment horizontal="right" vertical="center" wrapText="1"/>
    </xf>
    <xf numFmtId="3" fontId="31" fillId="21" borderId="17" xfId="96" applyNumberFormat="1" applyFont="1" applyFill="1" applyBorder="1" applyAlignment="1">
      <alignment horizontal="right" vertical="center" wrapText="1"/>
    </xf>
    <xf numFmtId="3" fontId="31" fillId="21" borderId="21" xfId="97" quotePrefix="1" applyNumberFormat="1" applyFont="1" applyFill="1" applyBorder="1" applyAlignment="1">
      <alignment horizontal="right" vertical="center" wrapText="1"/>
    </xf>
    <xf numFmtId="3" fontId="31" fillId="21" borderId="14" xfId="97" applyNumberFormat="1" applyFont="1" applyFill="1" applyBorder="1" applyAlignment="1">
      <alignment horizontal="right" vertical="center" wrapText="1"/>
    </xf>
    <xf numFmtId="0" fontId="31" fillId="21" borderId="16" xfId="97" quotePrefix="1" applyFont="1" applyFill="1" applyBorder="1" applyAlignment="1">
      <alignment horizontal="left" vertical="center" wrapText="1"/>
    </xf>
    <xf numFmtId="0" fontId="31" fillId="22" borderId="22" xfId="0" quotePrefix="1" applyFont="1" applyFill="1" applyBorder="1" applyAlignment="1">
      <alignment horizontal="left" vertical="center" wrapText="1"/>
    </xf>
    <xf numFmtId="0" fontId="31" fillId="22" borderId="20" xfId="0" quotePrefix="1" applyFont="1" applyFill="1" applyBorder="1" applyAlignment="1">
      <alignment horizontal="left" vertical="center" wrapText="1"/>
    </xf>
  </cellXfs>
  <cellStyles count="113">
    <cellStyle name=" 1" xfId="4"/>
    <cellStyle name=" 10" xfId="5"/>
    <cellStyle name=" 11" xfId="6"/>
    <cellStyle name=" 12" xfId="7"/>
    <cellStyle name=" 2" xfId="8"/>
    <cellStyle name=" 3" xfId="9"/>
    <cellStyle name=" 4" xfId="10"/>
    <cellStyle name=" 5" xfId="11"/>
    <cellStyle name=" 6" xfId="12"/>
    <cellStyle name=" 7" xfId="13"/>
    <cellStyle name=" 8" xfId="14"/>
    <cellStyle name=" 9" xfId="15"/>
    <cellStyle name="_x000d__x000a_JournalTemplate=C:\COMFO\CTALK\JOURSTD.TPL_x000d__x000a_LbStateAddress=3 3 0 251 1 89 2 311_x000d__x000a_LbStateJou" xfId="16"/>
    <cellStyle name="%" xfId="17"/>
    <cellStyle name="%_adj journal (4)" xfId="18"/>
    <cellStyle name="%_CONSOL Q4 Reporting Model 150612" xfId="19"/>
    <cellStyle name="%_Copy of IFRS Probation Trust Q2-2010-2011 MC" xfId="20"/>
    <cellStyle name="%_IFRS Probation Area Template 31-03-2010v1.8" xfId="21"/>
    <cellStyle name="%_IFRS Probation Trust Q2-2010-2011" xfId="22"/>
    <cellStyle name="%_Tests" xfId="23"/>
    <cellStyle name="%_z-Trial Balance-PreAudit-2010-11" xfId="24"/>
    <cellStyle name="_08-09 Consol Row Titles" xfId="25"/>
    <cellStyle name="_adj journal (4)" xfId="26"/>
    <cellStyle name="_COA 190809 summary - AA 021009 w NOMS mappings 12 Nov" xfId="27"/>
    <cellStyle name="_Copy of MoJ 09-10 Q2 Consol template ).xls2 (version 3)" xfId="28"/>
    <cellStyle name="_IFRS GAAP Resource Accounts Disclosure Format" xfId="29"/>
    <cellStyle name="_MoJ 09-10 Q4 OU10 template - AA revd Q$ Final 1" xfId="30"/>
    <cellStyle name="_MoJ 10-11 Q4 OU10 template" xfId="31"/>
    <cellStyle name="_MoJ IFRS GAAP Resource Accounts pages" xfId="32"/>
    <cellStyle name="_MoJ UK GAAP Notes v1.0" xfId="33"/>
    <cellStyle name="_Neutered Mapping descriptions" xfId="34"/>
    <cellStyle name="_Output Notes from Mappings repaired" xfId="35"/>
    <cellStyle name="_Q4 1011 ACCOUNTS NOMS DATA 200511" xfId="36"/>
    <cellStyle name="_Q4 1011 ACCOUNTS NOMS DATA 250711" xfId="37"/>
    <cellStyle name="_Summary of returns Q2 09-10" xfId="38"/>
    <cellStyle name="_WC 110215 1343 Copy of ACopy of Trial Balance reconciliation1 P1-9 2010-11" xfId="39"/>
    <cellStyle name="20% - Accent1" xfId="40" builtinId="30" customBuiltin="1"/>
    <cellStyle name="20% - Accent2" xfId="41" builtinId="34" customBuiltin="1"/>
    <cellStyle name="20% - Accent3" xfId="42" builtinId="38" customBuiltin="1"/>
    <cellStyle name="20% - Accent4" xfId="43" builtinId="42" customBuiltin="1"/>
    <cellStyle name="20% - Accent5" xfId="44" builtinId="46" customBuiltin="1"/>
    <cellStyle name="20% - Accent6" xfId="45" builtinId="50" customBuiltin="1"/>
    <cellStyle name="40% - Accent1" xfId="46" builtinId="31" customBuiltin="1"/>
    <cellStyle name="40% - Accent2" xfId="47" builtinId="35" customBuiltin="1"/>
    <cellStyle name="40% - Accent3" xfId="48" builtinId="39" customBuiltin="1"/>
    <cellStyle name="40% - Accent4" xfId="49" builtinId="43" customBuiltin="1"/>
    <cellStyle name="40% - Accent5" xfId="50" builtinId="47" customBuiltin="1"/>
    <cellStyle name="40% - Accent6" xfId="51" builtinId="51" customBuiltin="1"/>
    <cellStyle name="60% - Accent1" xfId="52" builtinId="32" customBuiltin="1"/>
    <cellStyle name="60% - Accent2" xfId="53" builtinId="36" customBuiltin="1"/>
    <cellStyle name="60% - Accent3" xfId="54" builtinId="40" customBuiltin="1"/>
    <cellStyle name="60% - Accent4" xfId="55" builtinId="44" customBuiltin="1"/>
    <cellStyle name="60% - Accent5" xfId="56" builtinId="48" customBuiltin="1"/>
    <cellStyle name="60% - Accent6" xfId="57" builtinId="52" customBuiltin="1"/>
    <cellStyle name="Accent1" xfId="58" builtinId="29" customBuiltin="1"/>
    <cellStyle name="Accent2" xfId="59" builtinId="33" customBuiltin="1"/>
    <cellStyle name="Accent3" xfId="60" builtinId="37" customBuiltin="1"/>
    <cellStyle name="Accent4" xfId="61" builtinId="41" customBuiltin="1"/>
    <cellStyle name="Accent5" xfId="62" builtinId="45" customBuiltin="1"/>
    <cellStyle name="Accent6" xfId="63" builtinId="49" customBuiltin="1"/>
    <cellStyle name="Bad" xfId="64" builtinId="27" customBuiltin="1"/>
    <cellStyle name="Calculation" xfId="65" builtinId="22" customBuiltin="1"/>
    <cellStyle name="Check Cell" xfId="66" builtinId="23" customBuiltin="1"/>
    <cellStyle name="Comma" xfId="67" builtinId="3"/>
    <cellStyle name="Comma 2" xfId="111"/>
    <cellStyle name="Explanatory Text" xfId="68" builtinId="53" customBuiltin="1"/>
    <cellStyle name="EYBlocked" xfId="69"/>
    <cellStyle name="EYCallUp" xfId="70"/>
    <cellStyle name="EYCheck" xfId="71"/>
    <cellStyle name="EYDate" xfId="72"/>
    <cellStyle name="EYDeviant" xfId="73"/>
    <cellStyle name="EYHeader1" xfId="74"/>
    <cellStyle name="EYHeader2" xfId="75"/>
    <cellStyle name="EYHeader3" xfId="76"/>
    <cellStyle name="EYInputDate" xfId="77"/>
    <cellStyle name="EYInputPercent" xfId="78"/>
    <cellStyle name="EYInputValue" xfId="79"/>
    <cellStyle name="EYNormal" xfId="80"/>
    <cellStyle name="EYPercent" xfId="81"/>
    <cellStyle name="EYPercentCapped" xfId="82"/>
    <cellStyle name="EYSubTotal" xfId="83"/>
    <cellStyle name="EYTotal" xfId="84"/>
    <cellStyle name="EYWIP" xfId="85"/>
    <cellStyle name="General" xfId="86"/>
    <cellStyle name="Good" xfId="87" builtinId="26" customBuiltin="1"/>
    <cellStyle name="Heading 1" xfId="88" builtinId="16" customBuiltin="1"/>
    <cellStyle name="Heading 2" xfId="89" builtinId="17" customBuiltin="1"/>
    <cellStyle name="Heading 3" xfId="90" builtinId="18" customBuiltin="1"/>
    <cellStyle name="Heading 4" xfId="91" builtinId="19" customBuiltin="1"/>
    <cellStyle name="Input" xfId="92" builtinId="20" customBuiltin="1"/>
    <cellStyle name="Linked Cell" xfId="93" builtinId="24" customBuiltin="1"/>
    <cellStyle name="Neutral" xfId="94" builtinId="28" customBuiltin="1"/>
    <cellStyle name="Normal" xfId="0" builtinId="0"/>
    <cellStyle name="Normal 2" xfId="95"/>
    <cellStyle name="Normal_2011-12 Places &amp; Prisoner Costing" xfId="96"/>
    <cellStyle name="Normal_Sheet1" xfId="97"/>
    <cellStyle name="Note" xfId="98" builtinId="10" customBuiltin="1"/>
    <cellStyle name="Output" xfId="99" builtinId="21" customBuiltin="1"/>
    <cellStyle name="Output Amounts" xfId="100"/>
    <cellStyle name="Output Column Headings" xfId="101"/>
    <cellStyle name="Output Line Items" xfId="102"/>
    <cellStyle name="Output Report Heading" xfId="103"/>
    <cellStyle name="Output Report Title" xfId="104"/>
    <cellStyle name="Percent 2" xfId="112"/>
    <cellStyle name="Style 1" xfId="105"/>
    <cellStyle name="Style 2" xfId="1"/>
    <cellStyle name="Style 3" xfId="2"/>
    <cellStyle name="Style 4" xfId="3"/>
    <cellStyle name="SubTitle_WGA" xfId="106"/>
    <cellStyle name="Text" xfId="107"/>
    <cellStyle name="Title" xfId="108" builtinId="15" customBuiltin="1"/>
    <cellStyle name="Total" xfId="109" builtinId="25" customBuiltin="1"/>
    <cellStyle name="Warning Text" xfId="110" builtinId="11" customBuiltin="1"/>
  </cellStyles>
  <dxfs count="12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colors>
    <mruColors>
      <color rgb="FFFFFFCC"/>
      <color rgb="FF4FD1FF"/>
      <color rgb="FFFF5050"/>
      <color rgb="FFB2269E"/>
      <color rgb="FFB52384"/>
      <color rgb="FFC0A0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2</xdr:col>
      <xdr:colOff>200025</xdr:colOff>
      <xdr:row>6</xdr:row>
      <xdr:rowOff>152400</xdr:rowOff>
    </xdr:to>
    <xdr:pic>
      <xdr:nvPicPr>
        <xdr:cNvPr id="6145" name="Picture 1" descr="Ministry of Justic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41922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MARKWILLIAMS\Local%20Settings\Temp\temp\Stripped%20out%20from%20Marks%20Q3%2009-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m1\data\Documents%20and%20Settings\alees\Local%20Settings\Temporary%20Internet%20Files\OLK4BA\DCA-97-25-v2-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NQG04J/Local%20Settings/Temporary%20Internet%20Files/OLK53/Belmarsh%20Mid-Year%2008-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809 elim data"/>
      <sheetName val="0809 Elim checks"/>
      <sheetName val="0708 Grouped TB"/>
      <sheetName val="0708 active sht"/>
      <sheetName val="0708 Core Adjust JNLS"/>
      <sheetName val="0708 Consol Adjust JNLS"/>
      <sheetName val="0708 Elim checks"/>
      <sheetName val="0607 jnls"/>
      <sheetName val="0607 Grouped TB"/>
    </sheetNames>
    <sheetDataSet>
      <sheetData sheetId="0"/>
      <sheetData sheetId="1"/>
      <sheetData sheetId="2"/>
      <sheetData sheetId="3" refreshError="1">
        <row r="1364">
          <cell r="A1364" t="str">
            <v>Control Checks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Cache_Sheet1"/>
      <sheetName val="Sheet1"/>
    </sheetNames>
    <sheetDataSet>
      <sheetData sheetId="0" refreshError="1">
        <row r="1">
          <cell r="A1" t="str">
            <v>No</v>
          </cell>
        </row>
        <row r="2">
          <cell r="A2" t="str">
            <v>Yes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Sheet2"/>
      <sheetName val="Sheet3"/>
    </sheetNames>
    <sheetDataSet>
      <sheetData sheetId="0" refreshError="1"/>
      <sheetData sheetId="1" refreshError="1"/>
      <sheetData sheetId="2" refreshError="1">
        <row r="13">
          <cell r="F13" t="str">
            <v>Akintunde K</v>
          </cell>
          <cell r="G13" t="str">
            <v>Employment Tribunal</v>
          </cell>
          <cell r="H13" t="str">
            <v>staff</v>
          </cell>
          <cell r="I13" t="str">
            <v>Probable</v>
          </cell>
          <cell r="J13">
            <v>50000</v>
          </cell>
          <cell r="L13">
            <v>0</v>
          </cell>
          <cell r="M13">
            <v>-50000</v>
          </cell>
          <cell r="N13">
            <v>0</v>
          </cell>
          <cell r="O13">
            <v>0</v>
          </cell>
          <cell r="P13">
            <v>0</v>
          </cell>
          <cell r="Q13" t="str">
            <v>Case closed 21.5.07.- ET had no jurisdiction Tsol costs £9,073</v>
          </cell>
        </row>
        <row r="14">
          <cell r="F14" t="str">
            <v>Ayobiojo</v>
          </cell>
          <cell r="G14" t="str">
            <v>Harrasment etc</v>
          </cell>
          <cell r="H14" t="str">
            <v>prisoner</v>
          </cell>
          <cell r="I14" t="str">
            <v xml:space="preserve">Probable </v>
          </cell>
          <cell r="J14">
            <v>10000</v>
          </cell>
          <cell r="M14">
            <v>-10000</v>
          </cell>
          <cell r="N14">
            <v>0</v>
          </cell>
          <cell r="O14">
            <v>0</v>
          </cell>
          <cell r="P14">
            <v>0</v>
          </cell>
          <cell r="Q14" t="str">
            <v>File dormant since Feb '07</v>
          </cell>
        </row>
        <row r="15">
          <cell r="F15" t="str">
            <v>Carter</v>
          </cell>
          <cell r="G15" t="str">
            <v>Accident  Case 2</v>
          </cell>
          <cell r="H15" t="str">
            <v>Staff</v>
          </cell>
          <cell r="I15" t="str">
            <v xml:space="preserve">Probable </v>
          </cell>
          <cell r="J15">
            <v>5000</v>
          </cell>
          <cell r="L15">
            <v>150000</v>
          </cell>
          <cell r="M15">
            <v>0</v>
          </cell>
          <cell r="N15">
            <v>145000</v>
          </cell>
          <cell r="O15">
            <v>0</v>
          </cell>
          <cell r="P15">
            <v>0</v>
          </cell>
          <cell r="Q15" t="str">
            <v>settlement £70000 July 08 costs o/s</v>
          </cell>
        </row>
        <row r="16">
          <cell r="F16" t="str">
            <v>Chambers S</v>
          </cell>
          <cell r="G16" t="str">
            <v>Assault</v>
          </cell>
          <cell r="H16" t="str">
            <v>prisoner</v>
          </cell>
          <cell r="I16" t="str">
            <v>Probable</v>
          </cell>
          <cell r="J16">
            <v>30000</v>
          </cell>
          <cell r="M16">
            <v>-30000</v>
          </cell>
          <cell r="N16">
            <v>0</v>
          </cell>
          <cell r="O16">
            <v>0</v>
          </cell>
          <cell r="P16">
            <v>0</v>
          </cell>
          <cell r="Q16" t="str">
            <v xml:space="preserve">File Dormant - Tsol costs 2,621 </v>
          </cell>
        </row>
        <row r="17">
          <cell r="F17" t="str">
            <v>Ezekie</v>
          </cell>
          <cell r="G17" t="str">
            <v>Assault</v>
          </cell>
          <cell r="H17" t="str">
            <v>prisoner</v>
          </cell>
          <cell r="I17" t="str">
            <v xml:space="preserve">Probable </v>
          </cell>
          <cell r="J17">
            <v>140000</v>
          </cell>
          <cell r="M17">
            <v>-140000</v>
          </cell>
          <cell r="N17">
            <v>0</v>
          </cell>
          <cell r="O17">
            <v>0</v>
          </cell>
          <cell r="P17">
            <v>0</v>
          </cell>
          <cell r="Q17" t="str">
            <v>Case continues on 2 claims</v>
          </cell>
        </row>
        <row r="18">
          <cell r="F18" t="str">
            <v>Ford C</v>
          </cell>
          <cell r="G18" t="str">
            <v>Tribunal case</v>
          </cell>
          <cell r="H18" t="str">
            <v>staff</v>
          </cell>
          <cell r="I18" t="str">
            <v xml:space="preserve">Probable </v>
          </cell>
          <cell r="J18">
            <v>8000</v>
          </cell>
          <cell r="K18">
            <v>2000</v>
          </cell>
          <cell r="M18">
            <v>-6000</v>
          </cell>
          <cell r="N18">
            <v>0</v>
          </cell>
          <cell r="O18">
            <v>0</v>
          </cell>
          <cell r="P18">
            <v>-2000</v>
          </cell>
          <cell r="Q18" t="str">
            <v>settled 7.4.06. Tsol costs £10,411</v>
          </cell>
        </row>
        <row r="19">
          <cell r="F19" t="str">
            <v>Harding K</v>
          </cell>
          <cell r="G19" t="str">
            <v>Assault</v>
          </cell>
          <cell r="H19" t="str">
            <v>prisoner</v>
          </cell>
          <cell r="I19" t="str">
            <v>Probable</v>
          </cell>
          <cell r="J19">
            <v>10000</v>
          </cell>
          <cell r="M19">
            <v>-10000</v>
          </cell>
          <cell r="N19">
            <v>0</v>
          </cell>
          <cell r="O19">
            <v>0</v>
          </cell>
          <cell r="P19">
            <v>0</v>
          </cell>
          <cell r="Q19" t="str">
            <v xml:space="preserve">struck out 12.4.07. Appeal 16.7.07. unsuccessful. Tsol costs 7,500 </v>
          </cell>
        </row>
        <row r="20">
          <cell r="F20" t="str">
            <v>Ibinudum</v>
          </cell>
          <cell r="G20" t="str">
            <v>Industrial Tribunal</v>
          </cell>
          <cell r="H20" t="str">
            <v>Staff</v>
          </cell>
          <cell r="I20" t="str">
            <v xml:space="preserve">Probable </v>
          </cell>
          <cell r="J20">
            <v>250000</v>
          </cell>
          <cell r="L20" t="str">
            <v>N/K</v>
          </cell>
          <cell r="M20" t="e">
            <v>#VALUE!</v>
          </cell>
          <cell r="N20" t="e">
            <v>#VALUE!</v>
          </cell>
          <cell r="O20">
            <v>0</v>
          </cell>
          <cell r="P20">
            <v>0</v>
          </cell>
          <cell r="Q20" t="str">
            <v>Claimant to pay o/s of £4000 approx</v>
          </cell>
        </row>
        <row r="21">
          <cell r="F21" t="str">
            <v>Branker J</v>
          </cell>
          <cell r="G21" t="str">
            <v>Employment Tribunal</v>
          </cell>
          <cell r="H21" t="str">
            <v>staff</v>
          </cell>
          <cell r="I21" t="str">
            <v>Probable</v>
          </cell>
          <cell r="J21">
            <v>260000</v>
          </cell>
          <cell r="M21">
            <v>-260000</v>
          </cell>
          <cell r="N21">
            <v>0</v>
          </cell>
          <cell r="O21">
            <v>0</v>
          </cell>
          <cell r="P21">
            <v>0</v>
          </cell>
          <cell r="Q21" t="str">
            <v>Claim withdrawn Dec 07. Tsol costs o/s</v>
          </cell>
        </row>
        <row r="22">
          <cell r="F22" t="str">
            <v>Milne F</v>
          </cell>
          <cell r="G22" t="str">
            <v>Injury</v>
          </cell>
          <cell r="H22" t="str">
            <v>staff</v>
          </cell>
          <cell r="I22" t="str">
            <v xml:space="preserve">Probable </v>
          </cell>
          <cell r="J22">
            <v>650</v>
          </cell>
          <cell r="K22">
            <v>23579</v>
          </cell>
          <cell r="M22">
            <v>0</v>
          </cell>
          <cell r="N22">
            <v>0</v>
          </cell>
          <cell r="O22">
            <v>22929</v>
          </cell>
          <cell r="P22">
            <v>-650</v>
          </cell>
          <cell r="Q22" t="str">
            <v>Case complete 1.6.07. Tsol costs £8,668</v>
          </cell>
        </row>
        <row r="23">
          <cell r="F23" t="str">
            <v>Poonia AS</v>
          </cell>
          <cell r="G23" t="str">
            <v>Employment Tribunal</v>
          </cell>
          <cell r="H23" t="str">
            <v>staff</v>
          </cell>
          <cell r="I23" t="str">
            <v>Probable</v>
          </cell>
          <cell r="J23">
            <v>50000</v>
          </cell>
          <cell r="M23">
            <v>-50000</v>
          </cell>
          <cell r="N23">
            <v>0</v>
          </cell>
          <cell r="O23">
            <v>0</v>
          </cell>
          <cell r="P23">
            <v>0</v>
          </cell>
          <cell r="Q23" t="str">
            <v>Claim withdrawn 24.7.07. Tsol costs o/s</v>
          </cell>
        </row>
        <row r="24">
          <cell r="F24" t="str">
            <v>Regan K</v>
          </cell>
          <cell r="G24" t="str">
            <v>Lost Property</v>
          </cell>
          <cell r="H24" t="str">
            <v>prisoner</v>
          </cell>
          <cell r="I24" t="str">
            <v>Probable</v>
          </cell>
          <cell r="J24">
            <v>3000</v>
          </cell>
          <cell r="L24">
            <v>3000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 t="str">
            <v>settlement £38.36  costs o/s</v>
          </cell>
        </row>
        <row r="25">
          <cell r="F25" t="str">
            <v>Robinson</v>
          </cell>
          <cell r="G25" t="str">
            <v>lost prop [x5]</v>
          </cell>
          <cell r="H25" t="str">
            <v>prisoner</v>
          </cell>
          <cell r="I25" t="str">
            <v xml:space="preserve">Probable </v>
          </cell>
          <cell r="J25">
            <v>20000</v>
          </cell>
          <cell r="L25">
            <v>0</v>
          </cell>
          <cell r="M25">
            <v>-20000</v>
          </cell>
          <cell r="N25">
            <v>0</v>
          </cell>
          <cell r="O25">
            <v>0</v>
          </cell>
          <cell r="P25">
            <v>0</v>
          </cell>
          <cell r="Q25" t="str">
            <v>Struck Out 9.1.07. costs awarded against claimant.  Tsol costs o/standing</v>
          </cell>
        </row>
        <row r="26">
          <cell r="F26" t="str">
            <v>Roulston</v>
          </cell>
          <cell r="G26" t="str">
            <v>Assault</v>
          </cell>
          <cell r="H26" t="str">
            <v>prisoner</v>
          </cell>
          <cell r="I26" t="str">
            <v xml:space="preserve">Probable </v>
          </cell>
          <cell r="J26">
            <v>5000</v>
          </cell>
          <cell r="K26">
            <v>5000</v>
          </cell>
          <cell r="M26">
            <v>0</v>
          </cell>
          <cell r="N26">
            <v>0</v>
          </cell>
          <cell r="O26">
            <v>0</v>
          </cell>
          <cell r="P26">
            <v>-5000</v>
          </cell>
          <cell r="Q26" t="str">
            <v>settled £5000 Feb 08 claimant's costs = £49004.10 (£45000+£4004.10 May/July 08</v>
          </cell>
        </row>
        <row r="27">
          <cell r="F27" t="str">
            <v>Todd</v>
          </cell>
          <cell r="G27" t="str">
            <v>Property</v>
          </cell>
          <cell r="H27" t="str">
            <v>prisoner</v>
          </cell>
          <cell r="I27" t="str">
            <v xml:space="preserve">Probable </v>
          </cell>
          <cell r="J27">
            <v>5000</v>
          </cell>
          <cell r="M27">
            <v>-5000</v>
          </cell>
          <cell r="N27">
            <v>0</v>
          </cell>
          <cell r="O27">
            <v>0</v>
          </cell>
          <cell r="P27">
            <v>0</v>
          </cell>
          <cell r="Q27" t="str">
            <v>Dormant since Nov 05</v>
          </cell>
        </row>
        <row r="28">
          <cell r="F28" t="str">
            <v>Williams C</v>
          </cell>
          <cell r="G28" t="str">
            <v>Unlawful Detention</v>
          </cell>
          <cell r="H28" t="str">
            <v>prisoner</v>
          </cell>
          <cell r="I28" t="str">
            <v>Virtually Certain</v>
          </cell>
          <cell r="J28">
            <v>800</v>
          </cell>
          <cell r="K28">
            <v>1500</v>
          </cell>
          <cell r="M28">
            <v>0</v>
          </cell>
          <cell r="N28">
            <v>0</v>
          </cell>
          <cell r="O28">
            <v>700</v>
          </cell>
          <cell r="P28">
            <v>-800</v>
          </cell>
          <cell r="Q28" t="str">
            <v xml:space="preserve">settled28.3.07 claimants costs £800 Tsol costs £3,791 </v>
          </cell>
        </row>
        <row r="29"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J30">
            <v>847450</v>
          </cell>
          <cell r="L30">
            <v>26500</v>
          </cell>
          <cell r="M30" t="e">
            <v>#VALUE!</v>
          </cell>
          <cell r="N30" t="e">
            <v>#VALUE!</v>
          </cell>
          <cell r="O30">
            <v>23629</v>
          </cell>
          <cell r="P30">
            <v>-8450</v>
          </cell>
        </row>
        <row r="31">
          <cell r="J31" t="str">
            <v>Total Comp paid in year</v>
          </cell>
          <cell r="K31">
            <v>30579</v>
          </cell>
        </row>
        <row r="34">
          <cell r="F34" t="str">
            <v>Allaway J</v>
          </cell>
          <cell r="G34" t="str">
            <v>Employment Tribunal</v>
          </cell>
          <cell r="H34" t="str">
            <v>Staff</v>
          </cell>
          <cell r="I34" t="str">
            <v>Probable</v>
          </cell>
          <cell r="L34">
            <v>10000</v>
          </cell>
          <cell r="Q34" t="str">
            <v>Hearing listed for 28 October 2008</v>
          </cell>
        </row>
        <row r="35">
          <cell r="F35" t="str">
            <v>Ahmed K</v>
          </cell>
          <cell r="G35" t="str">
            <v>Disclosure of information</v>
          </cell>
          <cell r="H35" t="str">
            <v>prisoner</v>
          </cell>
          <cell r="I35" t="str">
            <v>Probable</v>
          </cell>
          <cell r="L35">
            <v>5000</v>
          </cell>
        </row>
        <row r="36">
          <cell r="F36" t="str">
            <v>Balaz P</v>
          </cell>
          <cell r="G36" t="str">
            <v>Unlawful Detention</v>
          </cell>
          <cell r="H36" t="str">
            <v>prisoner</v>
          </cell>
          <cell r="I36" t="str">
            <v>Probable</v>
          </cell>
          <cell r="L36">
            <v>2000</v>
          </cell>
        </row>
        <row r="37">
          <cell r="F37" t="str">
            <v>Benbow C</v>
          </cell>
          <cell r="G37" t="str">
            <v>Lost Property</v>
          </cell>
          <cell r="H37" t="str">
            <v>prisoner</v>
          </cell>
          <cell r="I37" t="str">
            <v>Probable</v>
          </cell>
          <cell r="L37">
            <v>1000</v>
          </cell>
        </row>
        <row r="38">
          <cell r="F38" t="str">
            <v>Birkett C</v>
          </cell>
          <cell r="G38" t="str">
            <v>Unlawful Detention</v>
          </cell>
          <cell r="H38" t="str">
            <v>prisoner</v>
          </cell>
          <cell r="I38" t="str">
            <v xml:space="preserve">Possible </v>
          </cell>
          <cell r="L38">
            <v>0</v>
          </cell>
          <cell r="Q38" t="str">
            <v>Claim withdrawn 11.10.07.</v>
          </cell>
        </row>
        <row r="39">
          <cell r="F39" t="str">
            <v>Broughton M</v>
          </cell>
          <cell r="G39" t="str">
            <v>Assault</v>
          </cell>
          <cell r="H39" t="str">
            <v>prisoner</v>
          </cell>
          <cell r="I39" t="str">
            <v>Virtually Certain</v>
          </cell>
          <cell r="L39">
            <v>10000</v>
          </cell>
        </row>
        <row r="40">
          <cell r="F40" t="str">
            <v>Carter V</v>
          </cell>
          <cell r="G40" t="str">
            <v>Medical Negligence</v>
          </cell>
          <cell r="H40" t="str">
            <v>prisoner</v>
          </cell>
          <cell r="I40" t="str">
            <v xml:space="preserve">Possible </v>
          </cell>
          <cell r="L40">
            <v>1500</v>
          </cell>
          <cell r="Q40" t="str">
            <v>claim withdrawn March '08  tsol costs = £3,777.06</v>
          </cell>
        </row>
        <row r="41">
          <cell r="F41" t="str">
            <v>Castillo J</v>
          </cell>
          <cell r="G41" t="str">
            <v>Unlawful Detention</v>
          </cell>
          <cell r="H41" t="str">
            <v>prisoner</v>
          </cell>
          <cell r="I41" t="str">
            <v>Probable</v>
          </cell>
          <cell r="L41">
            <v>14000</v>
          </cell>
          <cell r="Q41" t="str">
            <v>file dormant</v>
          </cell>
        </row>
        <row r="42">
          <cell r="F42" t="str">
            <v>Chambers S</v>
          </cell>
          <cell r="G42" t="str">
            <v>Lost Property</v>
          </cell>
          <cell r="H42" t="str">
            <v>prisoner</v>
          </cell>
          <cell r="I42" t="str">
            <v>Virtually Certain</v>
          </cell>
          <cell r="K42">
            <v>38</v>
          </cell>
          <cell r="L42">
            <v>0</v>
          </cell>
          <cell r="Q42" t="str">
            <v>settled £3.48   May 07  tsol costs £2900</v>
          </cell>
        </row>
        <row r="43">
          <cell r="F43" t="str">
            <v>Charles P</v>
          </cell>
          <cell r="G43" t="str">
            <v>Personal Injury</v>
          </cell>
          <cell r="H43" t="str">
            <v>staff</v>
          </cell>
          <cell r="I43" t="str">
            <v>Probable</v>
          </cell>
          <cell r="L43">
            <v>30000</v>
          </cell>
          <cell r="Q43" t="str">
            <v>settled £2500 April 08 claimant's costs = £8500 July/Aug. '08</v>
          </cell>
        </row>
        <row r="44">
          <cell r="F44" t="str">
            <v>Coombs D</v>
          </cell>
          <cell r="G44" t="str">
            <v>Unlawful detention</v>
          </cell>
          <cell r="H44" t="str">
            <v>prisoner</v>
          </cell>
          <cell r="I44" t="str">
            <v>Virtually Certain</v>
          </cell>
          <cell r="K44">
            <v>1150</v>
          </cell>
          <cell r="L44">
            <v>0</v>
          </cell>
          <cell r="Q44" t="str">
            <v>Settled Feb 08 Tsol costs o/s</v>
          </cell>
        </row>
        <row r="45">
          <cell r="F45" t="str">
            <v>Croad J</v>
          </cell>
          <cell r="G45" t="str">
            <v>Personal Injury</v>
          </cell>
          <cell r="H45" t="str">
            <v>prisoner</v>
          </cell>
          <cell r="I45" t="str">
            <v>Probable</v>
          </cell>
          <cell r="L45">
            <v>50000</v>
          </cell>
          <cell r="Q45" t="str">
            <v>file dormant</v>
          </cell>
        </row>
        <row r="46">
          <cell r="F46" t="str">
            <v>Day P</v>
          </cell>
          <cell r="G46" t="str">
            <v>Unlawful Detention</v>
          </cell>
          <cell r="H46" t="str">
            <v>prisoner</v>
          </cell>
          <cell r="I46" t="str">
            <v>Probable</v>
          </cell>
          <cell r="L46">
            <v>500</v>
          </cell>
          <cell r="Q46" t="str">
            <v>settled £1000 Sept.'08  costs o/s</v>
          </cell>
        </row>
        <row r="47">
          <cell r="F47" t="str">
            <v>Durosinmi M</v>
          </cell>
          <cell r="G47" t="str">
            <v>Rule 39 Letters</v>
          </cell>
          <cell r="H47" t="str">
            <v>prisoner</v>
          </cell>
          <cell r="I47" t="str">
            <v xml:space="preserve">Possible </v>
          </cell>
          <cell r="L47">
            <v>0</v>
          </cell>
          <cell r="Q47" t="str">
            <v>Claim dis/con 06/07 Tsol costs o/standing</v>
          </cell>
        </row>
        <row r="48">
          <cell r="F48" t="str">
            <v>Eaton</v>
          </cell>
          <cell r="G48" t="str">
            <v>Judicial Review</v>
          </cell>
          <cell r="H48" t="str">
            <v>prisoner</v>
          </cell>
          <cell r="I48" t="str">
            <v>Probable</v>
          </cell>
          <cell r="Q48" t="str">
            <v>withdrawn costs paid centrally</v>
          </cell>
        </row>
        <row r="49">
          <cell r="F49" t="str">
            <v>Gauhar N</v>
          </cell>
          <cell r="G49" t="str">
            <v>Accident</v>
          </cell>
          <cell r="H49" t="str">
            <v>prisoner</v>
          </cell>
          <cell r="I49" t="str">
            <v>Probable</v>
          </cell>
          <cell r="L49">
            <v>15000</v>
          </cell>
        </row>
        <row r="50">
          <cell r="F50" t="str">
            <v>Hagger T</v>
          </cell>
          <cell r="G50" t="str">
            <v>Lost Property</v>
          </cell>
          <cell r="H50" t="str">
            <v>prisoner</v>
          </cell>
          <cell r="I50" t="str">
            <v xml:space="preserve">Possible </v>
          </cell>
          <cell r="L50">
            <v>8000</v>
          </cell>
          <cell r="Q50" t="str">
            <v xml:space="preserve">claim struck out  July '08 </v>
          </cell>
        </row>
        <row r="51">
          <cell r="F51" t="str">
            <v>Hussein M</v>
          </cell>
          <cell r="G51" t="str">
            <v>Accident</v>
          </cell>
          <cell r="H51" t="str">
            <v>staff</v>
          </cell>
          <cell r="I51" t="str">
            <v>Probable</v>
          </cell>
          <cell r="L51">
            <v>5000</v>
          </cell>
        </row>
        <row r="52">
          <cell r="F52" t="str">
            <v>Ikoku F</v>
          </cell>
          <cell r="G52" t="str">
            <v>Employment Tribunal</v>
          </cell>
          <cell r="H52" t="str">
            <v>Staff</v>
          </cell>
          <cell r="I52" t="str">
            <v>Probable</v>
          </cell>
          <cell r="L52">
            <v>140000</v>
          </cell>
          <cell r="Q52" t="str">
            <v>claim dismissed May'08  tsol costs = £30000</v>
          </cell>
        </row>
        <row r="53">
          <cell r="F53" t="str">
            <v>Keegan C</v>
          </cell>
          <cell r="G53" t="str">
            <v>Medical Negligence</v>
          </cell>
          <cell r="H53" t="str">
            <v>prisoner</v>
          </cell>
          <cell r="I53" t="str">
            <v>Probable</v>
          </cell>
          <cell r="L53">
            <v>10000</v>
          </cell>
        </row>
        <row r="54">
          <cell r="F54" t="str">
            <v>Lawrence R</v>
          </cell>
          <cell r="G54" t="str">
            <v>Accident</v>
          </cell>
          <cell r="H54" t="str">
            <v>staff</v>
          </cell>
          <cell r="I54" t="str">
            <v>Probable</v>
          </cell>
          <cell r="L54">
            <v>20000</v>
          </cell>
          <cell r="Q54" t="str">
            <v>settled £16000 July '08 costs o/s</v>
          </cell>
        </row>
        <row r="55">
          <cell r="F55" t="str">
            <v>Maher H</v>
          </cell>
          <cell r="G55" t="str">
            <v>Employment Tribunal</v>
          </cell>
          <cell r="H55" t="str">
            <v>prisoner</v>
          </cell>
          <cell r="I55" t="str">
            <v>Probable</v>
          </cell>
          <cell r="L55">
            <v>15000</v>
          </cell>
          <cell r="Q55" t="str">
            <v xml:space="preserve">settled   </v>
          </cell>
        </row>
        <row r="56">
          <cell r="F56" t="str">
            <v>Moynes J</v>
          </cell>
          <cell r="G56" t="str">
            <v>Employment Tribunal</v>
          </cell>
          <cell r="H56" t="str">
            <v>Staff</v>
          </cell>
          <cell r="I56" t="str">
            <v>Probable</v>
          </cell>
          <cell r="L56">
            <v>10000</v>
          </cell>
        </row>
        <row r="57">
          <cell r="F57" t="str">
            <v>Norman R</v>
          </cell>
          <cell r="G57" t="str">
            <v>Employment Tribunal</v>
          </cell>
          <cell r="H57" t="str">
            <v>Staff</v>
          </cell>
          <cell r="I57" t="str">
            <v>Virtually Certain</v>
          </cell>
          <cell r="K57">
            <v>2500</v>
          </cell>
          <cell r="L57">
            <v>0</v>
          </cell>
          <cell r="Q57" t="str">
            <v>Settled 7.9.07. Tsol costs o/s</v>
          </cell>
        </row>
        <row r="58">
          <cell r="F58" t="str">
            <v>Oum</v>
          </cell>
          <cell r="G58" t="str">
            <v>Unlawful Detention</v>
          </cell>
          <cell r="H58" t="str">
            <v>prisoner</v>
          </cell>
          <cell r="I58" t="str">
            <v>Probable</v>
          </cell>
          <cell r="K58">
            <v>1500</v>
          </cell>
          <cell r="L58">
            <v>0</v>
          </cell>
          <cell r="Q58" t="str">
            <v>settled 22.9.08. tsol &amp; costs o/s</v>
          </cell>
        </row>
        <row r="59">
          <cell r="F59" t="str">
            <v>Prime P</v>
          </cell>
          <cell r="G59" t="str">
            <v>Unlawful detention</v>
          </cell>
          <cell r="H59" t="str">
            <v>prisoner</v>
          </cell>
          <cell r="I59" t="str">
            <v>Probable</v>
          </cell>
          <cell r="L59">
            <v>2000</v>
          </cell>
          <cell r="Q59" t="str">
            <v>settled £2377.50 Tsol costs = £1441.76</v>
          </cell>
        </row>
        <row r="60">
          <cell r="F60" t="str">
            <v>Samuels J</v>
          </cell>
          <cell r="G60" t="str">
            <v>Lost Property</v>
          </cell>
          <cell r="H60" t="str">
            <v>prisoner</v>
          </cell>
          <cell r="I60" t="str">
            <v>Virtually Certain</v>
          </cell>
          <cell r="K60">
            <v>10</v>
          </cell>
          <cell r="L60">
            <v>0</v>
          </cell>
          <cell r="Q60" t="str">
            <v xml:space="preserve">settled Feb.'08 </v>
          </cell>
        </row>
        <row r="61">
          <cell r="F61" t="str">
            <v>Shah A</v>
          </cell>
          <cell r="G61" t="str">
            <v>Accident</v>
          </cell>
          <cell r="H61" t="str">
            <v>contractor</v>
          </cell>
          <cell r="I61" t="str">
            <v>Virtually Certain</v>
          </cell>
          <cell r="L61">
            <v>2000</v>
          </cell>
          <cell r="Q61" t="str">
            <v>settled £2000  Oct.07 claimant's costs = £12200  Dec.'07 Tsol costs = £17973.97</v>
          </cell>
        </row>
        <row r="62">
          <cell r="F62" t="str">
            <v>Simms P</v>
          </cell>
          <cell r="G62" t="str">
            <v>Unlawful Detention</v>
          </cell>
          <cell r="H62" t="str">
            <v>prisoner</v>
          </cell>
          <cell r="I62" t="str">
            <v>Virtually Certain</v>
          </cell>
          <cell r="L62">
            <v>15000</v>
          </cell>
        </row>
        <row r="63">
          <cell r="F63" t="str">
            <v>Smith D</v>
          </cell>
          <cell r="G63" t="str">
            <v>Employment Tribunal</v>
          </cell>
          <cell r="H63" t="str">
            <v>staff</v>
          </cell>
          <cell r="I63" t="str">
            <v>Probable</v>
          </cell>
          <cell r="K63">
            <v>1000</v>
          </cell>
          <cell r="L63">
            <v>0</v>
          </cell>
          <cell r="Q63" t="str">
            <v>Settled 8.3.08. Tsol costs o/s</v>
          </cell>
        </row>
        <row r="64">
          <cell r="F64" t="str">
            <v>C Snagg</v>
          </cell>
          <cell r="G64" t="str">
            <v>Unlawful Detention</v>
          </cell>
          <cell r="H64" t="str">
            <v>prisoner</v>
          </cell>
          <cell r="I64" t="str">
            <v>Virtually Certain</v>
          </cell>
          <cell r="L64">
            <v>2000</v>
          </cell>
          <cell r="M64" t="str">
            <v>2,00</v>
          </cell>
          <cell r="Q64" t="str">
            <v>file dormant</v>
          </cell>
        </row>
        <row r="65">
          <cell r="F65" t="str">
            <v>Tierney J</v>
          </cell>
          <cell r="G65" t="str">
            <v>Unlawful Detention</v>
          </cell>
          <cell r="H65" t="str">
            <v>prisoner</v>
          </cell>
          <cell r="I65" t="str">
            <v>Virtually Certain</v>
          </cell>
          <cell r="L65">
            <v>3000</v>
          </cell>
          <cell r="Q65" t="str">
            <v>settled £1300 (incl. costs) Tsol costs = £756.48</v>
          </cell>
        </row>
        <row r="66">
          <cell r="F66" t="str">
            <v>Stephens M</v>
          </cell>
          <cell r="G66" t="str">
            <v>Wasted Visit</v>
          </cell>
          <cell r="H66" t="str">
            <v>3rd Party</v>
          </cell>
          <cell r="I66" t="str">
            <v>Virtually Certain</v>
          </cell>
          <cell r="K66">
            <v>750</v>
          </cell>
          <cell r="L66">
            <v>0</v>
          </cell>
          <cell r="Q66" t="str">
            <v>Settled May 07 Tsol costs £1,000</v>
          </cell>
        </row>
        <row r="67">
          <cell r="F67" t="str">
            <v>Turnbull J</v>
          </cell>
          <cell r="G67" t="str">
            <v>Accident</v>
          </cell>
          <cell r="H67" t="str">
            <v>prisoner</v>
          </cell>
          <cell r="I67" t="str">
            <v>Virtually Certain</v>
          </cell>
          <cell r="L67">
            <v>4000</v>
          </cell>
          <cell r="Q67" t="str">
            <v>file dormant</v>
          </cell>
        </row>
        <row r="68">
          <cell r="F68" t="str">
            <v>Warren C</v>
          </cell>
          <cell r="G68" t="str">
            <v>Race Relations Act</v>
          </cell>
          <cell r="H68" t="str">
            <v>prisoner</v>
          </cell>
          <cell r="I68" t="str">
            <v>Probable</v>
          </cell>
          <cell r="L68">
            <v>15000</v>
          </cell>
        </row>
        <row r="69">
          <cell r="F69" t="str">
            <v>Watson L</v>
          </cell>
          <cell r="G69" t="str">
            <v>Unlawful Detention</v>
          </cell>
          <cell r="H69" t="str">
            <v>prisoner</v>
          </cell>
          <cell r="I69" t="str">
            <v>Probable</v>
          </cell>
          <cell r="K69">
            <v>300</v>
          </cell>
          <cell r="L69">
            <v>0</v>
          </cell>
          <cell r="Q69" t="str">
            <v>Settled 26.2.08. Tsol costs o/s</v>
          </cell>
        </row>
        <row r="70">
          <cell r="F70" t="str">
            <v>Winfield J</v>
          </cell>
          <cell r="G70" t="str">
            <v>Damaged Property</v>
          </cell>
          <cell r="H70" t="str">
            <v>prisoner</v>
          </cell>
          <cell r="I70" t="str">
            <v>Probable</v>
          </cell>
          <cell r="L70">
            <v>150</v>
          </cell>
        </row>
        <row r="71">
          <cell r="F71" t="str">
            <v>Winfield J</v>
          </cell>
          <cell r="G71" t="str">
            <v>Human Rights</v>
          </cell>
          <cell r="H71" t="str">
            <v>prisoner</v>
          </cell>
          <cell r="I71" t="str">
            <v>Probable</v>
          </cell>
          <cell r="L71">
            <v>1508</v>
          </cell>
        </row>
        <row r="72">
          <cell r="K72">
            <v>5748</v>
          </cell>
          <cell r="L72">
            <v>319658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indexed="13"/>
    <pageSetUpPr fitToPage="1"/>
  </sheetPr>
  <dimension ref="A2:C19"/>
  <sheetViews>
    <sheetView tabSelected="1" workbookViewId="0">
      <selection activeCell="A9" sqref="A9"/>
    </sheetView>
  </sheetViews>
  <sheetFormatPr defaultRowHeight="12.75"/>
  <cols>
    <col min="1" max="16384" width="9.140625" style="33"/>
  </cols>
  <sheetData>
    <row r="2" spans="1:1" s="32" customFormat="1"/>
    <row r="8" spans="1:1" ht="33" customHeight="1"/>
    <row r="9" spans="1:1" ht="33">
      <c r="A9" s="1" t="s">
        <v>0</v>
      </c>
    </row>
    <row r="10" spans="1:1" ht="33">
      <c r="A10" s="1" t="s">
        <v>90</v>
      </c>
    </row>
    <row r="11" spans="1:1" ht="33">
      <c r="A11" s="1"/>
    </row>
    <row r="12" spans="1:1" ht="27">
      <c r="A12" s="2" t="s">
        <v>1</v>
      </c>
    </row>
    <row r="13" spans="1:1" ht="27">
      <c r="A13" s="3" t="s">
        <v>87</v>
      </c>
    </row>
    <row r="14" spans="1:1" ht="27">
      <c r="A14" s="2" t="s">
        <v>2</v>
      </c>
    </row>
    <row r="15" spans="1:1" ht="33">
      <c r="A15" s="1"/>
    </row>
    <row r="16" spans="1:1" ht="33">
      <c r="A16" s="1" t="s">
        <v>3</v>
      </c>
    </row>
    <row r="17" spans="1:3" ht="33">
      <c r="A17" s="1" t="s">
        <v>4</v>
      </c>
    </row>
    <row r="19" spans="1:3" ht="15">
      <c r="A19" s="163" t="s">
        <v>88</v>
      </c>
      <c r="B19" s="135"/>
      <c r="C19" s="135"/>
    </row>
  </sheetData>
  <phoneticPr fontId="25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  <pageSetUpPr fitToPage="1"/>
  </sheetPr>
  <dimension ref="A1:G57"/>
  <sheetViews>
    <sheetView zoomScaleNormal="100" workbookViewId="0"/>
  </sheetViews>
  <sheetFormatPr defaultRowHeight="14.25"/>
  <cols>
    <col min="1" max="1" width="34.7109375" style="25" customWidth="1"/>
    <col min="2" max="2" width="14.7109375" style="25" customWidth="1"/>
    <col min="3" max="4" width="17.7109375" style="25" customWidth="1"/>
    <col min="5" max="5" width="19.7109375" style="25" customWidth="1"/>
    <col min="6" max="7" width="13.7109375" style="25" customWidth="1"/>
    <col min="8" max="16384" width="9.140625" style="25"/>
  </cols>
  <sheetData>
    <row r="1" spans="1:7" ht="15.75">
      <c r="A1" s="7" t="s">
        <v>91</v>
      </c>
    </row>
    <row r="3" spans="1:7" ht="14.25" customHeight="1">
      <c r="A3" s="166" t="s">
        <v>92</v>
      </c>
      <c r="B3" s="167"/>
      <c r="C3" s="170" t="s">
        <v>7</v>
      </c>
      <c r="D3" s="172" t="s">
        <v>8</v>
      </c>
      <c r="E3" s="174" t="s">
        <v>10</v>
      </c>
      <c r="F3" s="170" t="s">
        <v>5</v>
      </c>
      <c r="G3" s="172" t="s">
        <v>6</v>
      </c>
    </row>
    <row r="4" spans="1:7" ht="14.25" customHeight="1">
      <c r="A4" s="168"/>
      <c r="B4" s="169"/>
      <c r="C4" s="171"/>
      <c r="D4" s="173"/>
      <c r="E4" s="175"/>
      <c r="F4" s="171"/>
      <c r="G4" s="173"/>
    </row>
    <row r="5" spans="1:7">
      <c r="A5" s="40" t="s">
        <v>96</v>
      </c>
      <c r="B5" s="41"/>
      <c r="C5" s="42">
        <v>65035</v>
      </c>
      <c r="D5" s="21">
        <v>69040</v>
      </c>
      <c r="E5" s="43">
        <v>2467926949</v>
      </c>
      <c r="F5" s="44">
        <v>37948</v>
      </c>
      <c r="G5" s="45">
        <v>35746</v>
      </c>
    </row>
    <row r="6" spans="1:7">
      <c r="A6" s="46" t="s">
        <v>86</v>
      </c>
      <c r="B6" s="47"/>
      <c r="C6" s="42">
        <v>13765</v>
      </c>
      <c r="D6" s="21">
        <v>15710</v>
      </c>
      <c r="E6" s="43">
        <v>529761007</v>
      </c>
      <c r="F6" s="44">
        <v>38487</v>
      </c>
      <c r="G6" s="45">
        <v>33721</v>
      </c>
    </row>
    <row r="7" spans="1:7" ht="15">
      <c r="A7" s="48" t="s">
        <v>30</v>
      </c>
      <c r="B7" s="49"/>
      <c r="C7" s="50">
        <v>78800</v>
      </c>
      <c r="D7" s="51">
        <v>84750</v>
      </c>
      <c r="E7" s="52">
        <v>2997687957</v>
      </c>
      <c r="F7" s="53">
        <v>38042</v>
      </c>
      <c r="G7" s="54">
        <v>35371</v>
      </c>
    </row>
    <row r="8" spans="1:7">
      <c r="G8" s="36" t="s">
        <v>89</v>
      </c>
    </row>
    <row r="9" spans="1:7" ht="15">
      <c r="A9" s="55" t="s">
        <v>31</v>
      </c>
    </row>
    <row r="10" spans="1:7" s="6" customFormat="1">
      <c r="A10" s="24" t="s">
        <v>79</v>
      </c>
      <c r="C10" s="35"/>
      <c r="D10" s="11"/>
    </row>
    <row r="11" spans="1:7">
      <c r="A11" s="5" t="s">
        <v>80</v>
      </c>
      <c r="E11" s="56"/>
    </row>
    <row r="12" spans="1:7">
      <c r="A12" s="24"/>
      <c r="E12" s="56"/>
    </row>
    <row r="13" spans="1:7">
      <c r="A13" s="24" t="s">
        <v>93</v>
      </c>
      <c r="E13" s="56"/>
    </row>
    <row r="14" spans="1:7">
      <c r="A14" s="24"/>
      <c r="E14" s="56"/>
    </row>
    <row r="15" spans="1:7">
      <c r="E15" s="56"/>
    </row>
    <row r="16" spans="1:7">
      <c r="E16" s="56"/>
    </row>
    <row r="17" spans="1:7" ht="15.75">
      <c r="A17" s="7" t="s">
        <v>94</v>
      </c>
    </row>
    <row r="18" spans="1:7">
      <c r="E18" s="57"/>
    </row>
    <row r="19" spans="1:7" ht="14.25" customHeight="1">
      <c r="A19" s="191" t="s">
        <v>95</v>
      </c>
      <c r="B19" s="164" t="s">
        <v>32</v>
      </c>
      <c r="C19" s="170" t="s">
        <v>7</v>
      </c>
      <c r="D19" s="172" t="s">
        <v>8</v>
      </c>
      <c r="E19" s="174" t="s">
        <v>10</v>
      </c>
      <c r="F19" s="170" t="s">
        <v>5</v>
      </c>
      <c r="G19" s="172" t="s">
        <v>6</v>
      </c>
    </row>
    <row r="20" spans="1:7" ht="14.25" customHeight="1">
      <c r="A20" s="192"/>
      <c r="B20" s="165"/>
      <c r="C20" s="171"/>
      <c r="D20" s="173"/>
      <c r="E20" s="175"/>
      <c r="F20" s="171"/>
      <c r="G20" s="173"/>
    </row>
    <row r="21" spans="1:7" ht="15">
      <c r="A21" s="58" t="s">
        <v>33</v>
      </c>
      <c r="B21" s="59"/>
      <c r="C21" s="59"/>
      <c r="D21" s="60"/>
      <c r="E21" s="61"/>
      <c r="F21" s="59"/>
      <c r="G21" s="62"/>
    </row>
    <row r="22" spans="1:7">
      <c r="A22" s="63" t="s">
        <v>34</v>
      </c>
      <c r="B22" s="59"/>
      <c r="C22" s="59"/>
      <c r="D22" s="60"/>
      <c r="E22" s="61"/>
      <c r="F22" s="59"/>
      <c r="G22" s="62"/>
    </row>
    <row r="23" spans="1:7">
      <c r="A23" s="64" t="s">
        <v>16</v>
      </c>
      <c r="B23" s="65" t="s">
        <v>35</v>
      </c>
      <c r="C23" s="122">
        <v>1064</v>
      </c>
      <c r="D23" s="124">
        <v>1095</v>
      </c>
      <c r="E23" s="123">
        <v>40842647</v>
      </c>
      <c r="F23" s="125">
        <v>38386</v>
      </c>
      <c r="G23" s="126">
        <v>37313</v>
      </c>
    </row>
    <row r="24" spans="1:7">
      <c r="A24" s="66" t="s">
        <v>17</v>
      </c>
      <c r="B24" s="65" t="s">
        <v>36</v>
      </c>
      <c r="C24" s="122">
        <v>900</v>
      </c>
      <c r="D24" s="124">
        <v>910</v>
      </c>
      <c r="E24" s="123">
        <v>29557101</v>
      </c>
      <c r="F24" s="125">
        <v>32841</v>
      </c>
      <c r="G24" s="126">
        <v>32486</v>
      </c>
    </row>
    <row r="25" spans="1:7">
      <c r="A25" s="64" t="s">
        <v>18</v>
      </c>
      <c r="B25" s="65" t="s">
        <v>37</v>
      </c>
      <c r="C25" s="122">
        <v>600</v>
      </c>
      <c r="D25" s="124">
        <v>637</v>
      </c>
      <c r="E25" s="123">
        <v>24872591</v>
      </c>
      <c r="F25" s="125">
        <v>41454</v>
      </c>
      <c r="G25" s="126">
        <v>39026</v>
      </c>
    </row>
    <row r="26" spans="1:7">
      <c r="A26" s="64"/>
      <c r="B26" s="65"/>
      <c r="C26" s="122"/>
      <c r="D26" s="124"/>
      <c r="E26" s="123"/>
      <c r="F26" s="125"/>
      <c r="G26" s="126"/>
    </row>
    <row r="27" spans="1:7">
      <c r="A27" s="63" t="s">
        <v>38</v>
      </c>
      <c r="B27" s="67"/>
      <c r="C27" s="122"/>
      <c r="D27" s="124"/>
      <c r="E27" s="123"/>
      <c r="F27" s="127"/>
      <c r="G27" s="128"/>
    </row>
    <row r="28" spans="1:7">
      <c r="A28" s="64" t="s">
        <v>20</v>
      </c>
      <c r="B28" s="65" t="s">
        <v>39</v>
      </c>
      <c r="C28" s="122">
        <v>1558</v>
      </c>
      <c r="D28" s="124">
        <v>1682</v>
      </c>
      <c r="E28" s="123">
        <v>74893346</v>
      </c>
      <c r="F28" s="125">
        <v>48075</v>
      </c>
      <c r="G28" s="126">
        <v>44535</v>
      </c>
    </row>
    <row r="29" spans="1:7">
      <c r="A29" s="64" t="s">
        <v>22</v>
      </c>
      <c r="B29" s="65" t="s">
        <v>43</v>
      </c>
      <c r="C29" s="122">
        <v>410</v>
      </c>
      <c r="D29" s="124">
        <v>399</v>
      </c>
      <c r="E29" s="123">
        <v>16212645</v>
      </c>
      <c r="F29" s="125">
        <v>39543</v>
      </c>
      <c r="G29" s="126">
        <v>40608</v>
      </c>
    </row>
    <row r="30" spans="1:7">
      <c r="A30" s="64"/>
      <c r="B30" s="65"/>
      <c r="C30" s="122"/>
      <c r="D30" s="124"/>
      <c r="E30" s="123"/>
      <c r="F30" s="125"/>
      <c r="G30" s="126"/>
    </row>
    <row r="31" spans="1:7">
      <c r="A31" s="63" t="s">
        <v>13</v>
      </c>
      <c r="B31" s="67"/>
      <c r="C31" s="122"/>
      <c r="D31" s="124"/>
      <c r="E31" s="123"/>
      <c r="F31" s="125"/>
      <c r="G31" s="126"/>
    </row>
    <row r="32" spans="1:7">
      <c r="A32" s="64" t="s">
        <v>23</v>
      </c>
      <c r="B32" s="65" t="s">
        <v>39</v>
      </c>
      <c r="C32" s="122">
        <v>794</v>
      </c>
      <c r="D32" s="124">
        <v>1059</v>
      </c>
      <c r="E32" s="123">
        <v>53501453</v>
      </c>
      <c r="F32" s="125">
        <v>67382</v>
      </c>
      <c r="G32" s="126">
        <v>50509</v>
      </c>
    </row>
    <row r="33" spans="1:7">
      <c r="A33" s="66" t="s">
        <v>25</v>
      </c>
      <c r="B33" s="65" t="s">
        <v>40</v>
      </c>
      <c r="C33" s="122">
        <v>1064</v>
      </c>
      <c r="D33" s="124">
        <v>1437</v>
      </c>
      <c r="E33" s="123">
        <v>43985536</v>
      </c>
      <c r="F33" s="125">
        <v>41340</v>
      </c>
      <c r="G33" s="126">
        <v>30616</v>
      </c>
    </row>
    <row r="34" spans="1:7">
      <c r="A34" s="64" t="s">
        <v>27</v>
      </c>
      <c r="B34" s="70" t="s">
        <v>41</v>
      </c>
      <c r="C34" s="122">
        <v>1132</v>
      </c>
      <c r="D34" s="124">
        <v>1274</v>
      </c>
      <c r="E34" s="123">
        <v>49800518</v>
      </c>
      <c r="F34" s="125">
        <v>43993</v>
      </c>
      <c r="G34" s="126">
        <v>39100</v>
      </c>
    </row>
    <row r="35" spans="1:7">
      <c r="A35" s="64" t="s">
        <v>28</v>
      </c>
      <c r="B35" s="65" t="s">
        <v>42</v>
      </c>
      <c r="C35" s="122">
        <v>932</v>
      </c>
      <c r="D35" s="124">
        <v>1215</v>
      </c>
      <c r="E35" s="123">
        <v>41228136</v>
      </c>
      <c r="F35" s="125">
        <v>44236</v>
      </c>
      <c r="G35" s="126">
        <v>33942</v>
      </c>
    </row>
    <row r="36" spans="1:7">
      <c r="A36" s="64"/>
      <c r="B36" s="70"/>
      <c r="C36" s="122"/>
      <c r="D36" s="124"/>
      <c r="E36" s="123"/>
      <c r="F36" s="125"/>
      <c r="G36" s="126"/>
    </row>
    <row r="37" spans="1:7">
      <c r="A37" s="63" t="s">
        <v>12</v>
      </c>
      <c r="B37" s="67"/>
      <c r="C37" s="122"/>
      <c r="D37" s="124"/>
      <c r="E37" s="123"/>
      <c r="F37" s="125"/>
      <c r="G37" s="126"/>
    </row>
    <row r="38" spans="1:7">
      <c r="A38" s="64" t="s">
        <v>21</v>
      </c>
      <c r="B38" s="65" t="s">
        <v>44</v>
      </c>
      <c r="C38" s="122">
        <v>527</v>
      </c>
      <c r="D38" s="124">
        <v>551</v>
      </c>
      <c r="E38" s="123">
        <v>35383750</v>
      </c>
      <c r="F38" s="125">
        <v>67142</v>
      </c>
      <c r="G38" s="126">
        <v>64188</v>
      </c>
    </row>
    <row r="39" spans="1:7" ht="15">
      <c r="A39" s="71" t="s">
        <v>45</v>
      </c>
      <c r="B39" s="72"/>
      <c r="C39" s="73">
        <v>8981</v>
      </c>
      <c r="D39" s="74">
        <v>10258</v>
      </c>
      <c r="E39" s="75">
        <v>410277723</v>
      </c>
      <c r="F39" s="76">
        <v>45684</v>
      </c>
      <c r="G39" s="77">
        <v>39995</v>
      </c>
    </row>
    <row r="40" spans="1:7">
      <c r="A40" s="78"/>
      <c r="B40" s="67"/>
      <c r="C40" s="42"/>
      <c r="D40" s="21"/>
      <c r="E40" s="43"/>
      <c r="F40" s="68"/>
      <c r="G40" s="69"/>
    </row>
    <row r="41" spans="1:7" ht="15">
      <c r="A41" s="79" t="s">
        <v>29</v>
      </c>
      <c r="B41" s="80"/>
      <c r="C41" s="122"/>
      <c r="D41" s="124"/>
      <c r="E41" s="123"/>
      <c r="F41" s="127"/>
      <c r="G41" s="128"/>
    </row>
    <row r="42" spans="1:7">
      <c r="A42" s="63" t="s">
        <v>13</v>
      </c>
      <c r="B42" s="67"/>
      <c r="C42" s="122"/>
      <c r="D42" s="124"/>
      <c r="E42" s="123"/>
      <c r="F42" s="127"/>
      <c r="G42" s="128"/>
    </row>
    <row r="43" spans="1:7">
      <c r="A43" s="64" t="s">
        <v>24</v>
      </c>
      <c r="B43" s="65" t="s">
        <v>46</v>
      </c>
      <c r="C43" s="122">
        <v>738</v>
      </c>
      <c r="D43" s="124">
        <v>1056</v>
      </c>
      <c r="E43" s="123">
        <v>26177782</v>
      </c>
      <c r="F43" s="125">
        <v>35471</v>
      </c>
      <c r="G43" s="126">
        <v>24801</v>
      </c>
    </row>
    <row r="44" spans="1:7">
      <c r="A44" s="64" t="s">
        <v>26</v>
      </c>
      <c r="B44" s="65" t="s">
        <v>46</v>
      </c>
      <c r="C44" s="122">
        <v>1093</v>
      </c>
      <c r="D44" s="124">
        <v>1268</v>
      </c>
      <c r="E44" s="123">
        <v>36023096</v>
      </c>
      <c r="F44" s="125">
        <v>32958</v>
      </c>
      <c r="G44" s="126">
        <v>28402</v>
      </c>
    </row>
    <row r="45" spans="1:7">
      <c r="A45" s="64"/>
      <c r="B45" s="65"/>
      <c r="C45" s="122"/>
      <c r="D45" s="124"/>
      <c r="E45" s="123"/>
      <c r="F45" s="127"/>
      <c r="G45" s="128"/>
    </row>
    <row r="46" spans="1:7">
      <c r="A46" s="63" t="s">
        <v>38</v>
      </c>
      <c r="B46" s="67"/>
      <c r="C46" s="122"/>
      <c r="D46" s="124"/>
      <c r="E46" s="123"/>
      <c r="F46" s="127"/>
      <c r="G46" s="128"/>
    </row>
    <row r="47" spans="1:7">
      <c r="A47" s="64" t="s">
        <v>19</v>
      </c>
      <c r="B47" s="65" t="s">
        <v>47</v>
      </c>
      <c r="C47" s="122">
        <v>1605</v>
      </c>
      <c r="D47" s="124">
        <v>1792</v>
      </c>
      <c r="E47" s="123">
        <v>29471294</v>
      </c>
      <c r="F47" s="125">
        <v>18362</v>
      </c>
      <c r="G47" s="126">
        <v>16448</v>
      </c>
    </row>
    <row r="48" spans="1:7">
      <c r="A48" s="64" t="s">
        <v>77</v>
      </c>
      <c r="B48" s="65" t="s">
        <v>78</v>
      </c>
      <c r="C48" s="122">
        <v>1348</v>
      </c>
      <c r="D48" s="124">
        <v>1336</v>
      </c>
      <c r="E48" s="123">
        <v>27811113</v>
      </c>
      <c r="F48" s="125">
        <v>20631</v>
      </c>
      <c r="G48" s="126">
        <v>20810</v>
      </c>
    </row>
    <row r="49" spans="1:7" ht="15">
      <c r="A49" s="81" t="s">
        <v>48</v>
      </c>
      <c r="B49" s="72"/>
      <c r="C49" s="73">
        <v>4784</v>
      </c>
      <c r="D49" s="74">
        <v>5452</v>
      </c>
      <c r="E49" s="75">
        <v>119483284</v>
      </c>
      <c r="F49" s="76">
        <v>24976</v>
      </c>
      <c r="G49" s="77">
        <v>21915</v>
      </c>
    </row>
    <row r="50" spans="1:7">
      <c r="A50" s="82"/>
      <c r="B50" s="82"/>
      <c r="C50" s="60"/>
      <c r="D50" s="60"/>
      <c r="E50" s="83"/>
      <c r="F50" s="83"/>
      <c r="G50" s="83"/>
    </row>
    <row r="51" spans="1:7">
      <c r="A51" s="82"/>
      <c r="B51" s="82"/>
      <c r="C51" s="145">
        <v>0</v>
      </c>
      <c r="D51" s="145">
        <v>0</v>
      </c>
      <c r="E51" s="145">
        <v>0</v>
      </c>
      <c r="F51" s="145">
        <v>0</v>
      </c>
      <c r="G51" s="145">
        <v>0</v>
      </c>
    </row>
    <row r="52" spans="1:7" ht="15">
      <c r="A52" s="84" t="s">
        <v>49</v>
      </c>
      <c r="B52" s="85"/>
      <c r="C52" s="50">
        <v>13765</v>
      </c>
      <c r="D52" s="51">
        <v>15710</v>
      </c>
      <c r="E52" s="52">
        <v>529761007</v>
      </c>
      <c r="F52" s="53">
        <v>38487</v>
      </c>
      <c r="G52" s="54">
        <v>33721</v>
      </c>
    </row>
    <row r="53" spans="1:7">
      <c r="G53" s="36" t="s">
        <v>89</v>
      </c>
    </row>
    <row r="54" spans="1:7">
      <c r="C54" s="142"/>
      <c r="D54" s="142"/>
      <c r="E54" s="142"/>
      <c r="F54" s="142"/>
      <c r="G54" s="142"/>
    </row>
    <row r="55" spans="1:7">
      <c r="C55" s="142"/>
      <c r="D55" s="142"/>
      <c r="E55" s="142"/>
      <c r="F55" s="142"/>
      <c r="G55" s="142"/>
    </row>
    <row r="56" spans="1:7">
      <c r="A56" s="86" t="s">
        <v>50</v>
      </c>
    </row>
    <row r="57" spans="1:7">
      <c r="A57" s="25" t="s">
        <v>51</v>
      </c>
    </row>
  </sheetData>
  <mergeCells count="13">
    <mergeCell ref="F3:F4"/>
    <mergeCell ref="G3:G4"/>
    <mergeCell ref="E19:E20"/>
    <mergeCell ref="F19:F20"/>
    <mergeCell ref="G19:G20"/>
    <mergeCell ref="E3:E4"/>
    <mergeCell ref="B19:B20"/>
    <mergeCell ref="C19:C20"/>
    <mergeCell ref="D19:D20"/>
    <mergeCell ref="A3:B4"/>
    <mergeCell ref="C3:C4"/>
    <mergeCell ref="D3:D4"/>
    <mergeCell ref="A19:A20"/>
  </mergeCells>
  <phoneticPr fontId="25" type="noConversion"/>
  <conditionalFormatting sqref="H1:IV9 A15:A16 B14:IV16 C9:G9 C3:G7 B18:B28 A21:A28 A29:B65536 H17:IV65536 C18:G52 C11:IV13 C54:G65536 C53:F53">
    <cfRule type="cellIs" dxfId="11" priority="5" stopIfTrue="1" operator="between">
      <formula>0</formula>
      <formula>0</formula>
    </cfRule>
  </conditionalFormatting>
  <conditionalFormatting sqref="A3 A6:B6 A7:A8 B11:B13 B7:B9 B5">
    <cfRule type="cellIs" dxfId="10" priority="4" stopIfTrue="1" operator="between">
      <formula>0</formula>
      <formula>0</formula>
    </cfRule>
  </conditionalFormatting>
  <conditionalFormatting sqref="A18:A19">
    <cfRule type="cellIs" dxfId="9" priority="3" stopIfTrue="1" operator="between">
      <formula>0</formula>
      <formula>0</formula>
    </cfRule>
  </conditionalFormatting>
  <conditionalFormatting sqref="G8 G53">
    <cfRule type="cellIs" dxfId="8" priority="2" stopIfTrue="1" operator="between">
      <formula>0</formula>
      <formula>0</formula>
    </cfRule>
  </conditionalFormatting>
  <conditionalFormatting sqref="A5">
    <cfRule type="cellIs" dxfId="7" priority="1" stopIfTrue="1" operator="between">
      <formula>0</formula>
      <formula>0</formula>
    </cfRule>
  </conditionalFormatting>
  <printOptions horizontalCentered="1"/>
  <pageMargins left="0.19" right="0.18" top="0.35" bottom="0.36" header="0.21" footer="0.19"/>
  <pageSetup paperSize="9" scale="71" orientation="landscape" r:id="rId1"/>
  <headerFooter alignWithMargins="0">
    <oddFooter>&amp;C&amp;"Arial,Regular"&amp;A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indexed="13"/>
    <pageSetUpPr fitToPage="1"/>
  </sheetPr>
  <dimension ref="A1:K77"/>
  <sheetViews>
    <sheetView zoomScaleNormal="100" workbookViewId="0"/>
  </sheetViews>
  <sheetFormatPr defaultRowHeight="14.25"/>
  <cols>
    <col min="1" max="1" width="55.7109375" style="6" customWidth="1"/>
    <col min="2" max="3" width="17.7109375" style="6" customWidth="1"/>
    <col min="4" max="4" width="18.7109375" style="6" customWidth="1"/>
    <col min="5" max="6" width="17.7109375" style="6" customWidth="1"/>
    <col min="7" max="7" width="3.7109375" style="6" customWidth="1"/>
    <col min="8" max="8" width="18.7109375" style="6" customWidth="1"/>
    <col min="9" max="10" width="17.7109375" style="6" customWidth="1"/>
    <col min="11" max="16384" width="9.140625" style="6"/>
  </cols>
  <sheetData>
    <row r="1" spans="1:11" ht="15.75">
      <c r="A1" s="7" t="s">
        <v>97</v>
      </c>
      <c r="B1" s="8"/>
      <c r="C1" s="8"/>
      <c r="D1" s="4"/>
      <c r="E1" s="4"/>
      <c r="F1" s="9"/>
      <c r="G1" s="10"/>
      <c r="H1" s="11"/>
      <c r="I1" s="12"/>
      <c r="J1" s="11"/>
      <c r="K1" s="11"/>
    </row>
    <row r="2" spans="1:11" s="8" customFormat="1">
      <c r="B2" s="21"/>
      <c r="C2" s="21"/>
      <c r="D2" s="21"/>
      <c r="E2" s="21"/>
      <c r="F2" s="21"/>
      <c r="G2" s="21"/>
      <c r="H2" s="21"/>
      <c r="I2" s="21"/>
      <c r="J2" s="21"/>
    </row>
    <row r="3" spans="1:11" s="14" customFormat="1" ht="15" customHeight="1">
      <c r="A3" s="190" t="s">
        <v>74</v>
      </c>
      <c r="B3" s="186" t="s">
        <v>7</v>
      </c>
      <c r="C3" s="188" t="s">
        <v>8</v>
      </c>
      <c r="D3" s="182" t="s">
        <v>9</v>
      </c>
      <c r="E3" s="178" t="s">
        <v>5</v>
      </c>
      <c r="F3" s="180" t="s">
        <v>6</v>
      </c>
      <c r="G3" s="22"/>
      <c r="H3" s="182" t="s">
        <v>10</v>
      </c>
      <c r="I3" s="178" t="s">
        <v>5</v>
      </c>
      <c r="J3" s="176" t="s">
        <v>6</v>
      </c>
      <c r="K3" s="9"/>
    </row>
    <row r="4" spans="1:11" s="14" customFormat="1" ht="15" customHeight="1">
      <c r="A4" s="185"/>
      <c r="B4" s="187"/>
      <c r="C4" s="189"/>
      <c r="D4" s="183"/>
      <c r="E4" s="179" t="s">
        <v>11</v>
      </c>
      <c r="F4" s="181"/>
      <c r="G4" s="22"/>
      <c r="H4" s="183"/>
      <c r="I4" s="179" t="s">
        <v>11</v>
      </c>
      <c r="J4" s="177"/>
      <c r="K4" s="9"/>
    </row>
    <row r="5" spans="1:11" s="8" customFormat="1">
      <c r="A5" s="87" t="s">
        <v>52</v>
      </c>
      <c r="B5" s="129">
        <v>74976</v>
      </c>
      <c r="C5" s="130">
        <v>81129</v>
      </c>
      <c r="D5" s="131">
        <v>1822445633</v>
      </c>
      <c r="E5" s="28">
        <v>24307</v>
      </c>
      <c r="F5" s="27">
        <v>22463</v>
      </c>
      <c r="G5" s="29"/>
      <c r="H5" s="131">
        <v>2827582806</v>
      </c>
      <c r="I5" s="28">
        <v>37713</v>
      </c>
      <c r="J5" s="27">
        <v>34853</v>
      </c>
      <c r="K5" s="13"/>
    </row>
    <row r="6" spans="1:11" s="8" customFormat="1" ht="15" thickBot="1">
      <c r="A6" s="88" t="s">
        <v>53</v>
      </c>
      <c r="B6" s="132">
        <v>3824</v>
      </c>
      <c r="C6" s="133">
        <v>3621</v>
      </c>
      <c r="D6" s="134">
        <v>121101354</v>
      </c>
      <c r="E6" s="90">
        <v>31668</v>
      </c>
      <c r="F6" s="91">
        <v>33446</v>
      </c>
      <c r="G6" s="29"/>
      <c r="H6" s="134">
        <v>170105151</v>
      </c>
      <c r="I6" s="90">
        <v>44483</v>
      </c>
      <c r="J6" s="91">
        <v>46981</v>
      </c>
      <c r="K6" s="13"/>
    </row>
    <row r="7" spans="1:11">
      <c r="B7" s="20"/>
      <c r="C7" s="20"/>
      <c r="D7" s="11"/>
      <c r="H7" s="11"/>
    </row>
    <row r="8" spans="1:11">
      <c r="B8" s="11"/>
      <c r="C8" s="11"/>
      <c r="D8" s="11"/>
      <c r="H8" s="11"/>
    </row>
    <row r="9" spans="1:11">
      <c r="D9" s="11"/>
      <c r="H9" s="11"/>
    </row>
    <row r="10" spans="1:11" s="14" customFormat="1" ht="15" customHeight="1">
      <c r="A10" s="190" t="s">
        <v>75</v>
      </c>
      <c r="B10" s="186" t="s">
        <v>7</v>
      </c>
      <c r="C10" s="188" t="s">
        <v>8</v>
      </c>
      <c r="D10" s="182" t="s">
        <v>9</v>
      </c>
      <c r="E10" s="178" t="s">
        <v>5</v>
      </c>
      <c r="F10" s="180" t="s">
        <v>6</v>
      </c>
      <c r="G10" s="22"/>
      <c r="H10" s="182" t="s">
        <v>10</v>
      </c>
      <c r="I10" s="178" t="s">
        <v>5</v>
      </c>
      <c r="J10" s="176" t="s">
        <v>6</v>
      </c>
      <c r="K10" s="9"/>
    </row>
    <row r="11" spans="1:11" s="14" customFormat="1" ht="15" customHeight="1">
      <c r="A11" s="185"/>
      <c r="B11" s="187"/>
      <c r="C11" s="189"/>
      <c r="D11" s="183"/>
      <c r="E11" s="179" t="s">
        <v>11</v>
      </c>
      <c r="F11" s="181"/>
      <c r="G11" s="22"/>
      <c r="H11" s="183"/>
      <c r="I11" s="179" t="s">
        <v>11</v>
      </c>
      <c r="J11" s="177"/>
      <c r="K11" s="9"/>
    </row>
    <row r="12" spans="1:11" s="8" customFormat="1">
      <c r="A12" s="92" t="s">
        <v>54</v>
      </c>
      <c r="B12" s="129">
        <v>75211</v>
      </c>
      <c r="C12" s="130">
        <v>81913</v>
      </c>
      <c r="D12" s="131">
        <v>1836586062</v>
      </c>
      <c r="E12" s="28">
        <v>24419</v>
      </c>
      <c r="F12" s="27">
        <v>22421</v>
      </c>
      <c r="G12" s="29"/>
      <c r="H12" s="131">
        <v>2836846464</v>
      </c>
      <c r="I12" s="28">
        <v>37719</v>
      </c>
      <c r="J12" s="27">
        <v>34632</v>
      </c>
      <c r="K12" s="13"/>
    </row>
    <row r="13" spans="1:11" s="8" customFormat="1" ht="15" thickBot="1">
      <c r="A13" s="88" t="s">
        <v>55</v>
      </c>
      <c r="B13" s="132">
        <v>3589</v>
      </c>
      <c r="C13" s="133">
        <v>2837</v>
      </c>
      <c r="D13" s="134">
        <v>106960925</v>
      </c>
      <c r="E13" s="90">
        <v>29800</v>
      </c>
      <c r="F13" s="91">
        <v>37700</v>
      </c>
      <c r="G13" s="29"/>
      <c r="H13" s="134">
        <v>160841492</v>
      </c>
      <c r="I13" s="90">
        <v>44812</v>
      </c>
      <c r="J13" s="91">
        <v>56691</v>
      </c>
      <c r="K13" s="13"/>
    </row>
    <row r="14" spans="1:11">
      <c r="B14" s="20"/>
      <c r="C14" s="20"/>
      <c r="D14" s="11"/>
      <c r="H14" s="11"/>
    </row>
    <row r="15" spans="1:11">
      <c r="B15" s="11"/>
      <c r="C15" s="11"/>
      <c r="D15" s="11"/>
      <c r="H15" s="11"/>
    </row>
    <row r="16" spans="1:11">
      <c r="D16" s="11"/>
      <c r="H16" s="11"/>
    </row>
    <row r="17" spans="1:11" s="14" customFormat="1" ht="15" customHeight="1">
      <c r="A17" s="190" t="s">
        <v>76</v>
      </c>
      <c r="B17" s="186" t="s">
        <v>7</v>
      </c>
      <c r="C17" s="188" t="s">
        <v>8</v>
      </c>
      <c r="D17" s="182" t="s">
        <v>9</v>
      </c>
      <c r="E17" s="178" t="s">
        <v>5</v>
      </c>
      <c r="F17" s="180" t="s">
        <v>6</v>
      </c>
      <c r="G17" s="22"/>
      <c r="H17" s="182" t="s">
        <v>10</v>
      </c>
      <c r="I17" s="178" t="s">
        <v>5</v>
      </c>
      <c r="J17" s="176" t="s">
        <v>6</v>
      </c>
      <c r="K17" s="9"/>
    </row>
    <row r="18" spans="1:11" s="14" customFormat="1" ht="15" customHeight="1">
      <c r="A18" s="185"/>
      <c r="B18" s="187"/>
      <c r="C18" s="189"/>
      <c r="D18" s="183"/>
      <c r="E18" s="179" t="s">
        <v>11</v>
      </c>
      <c r="F18" s="181"/>
      <c r="G18" s="22"/>
      <c r="H18" s="183"/>
      <c r="I18" s="179" t="s">
        <v>11</v>
      </c>
      <c r="J18" s="177"/>
      <c r="K18" s="9"/>
    </row>
    <row r="19" spans="1:11" s="8" customFormat="1">
      <c r="A19" s="87" t="s">
        <v>15</v>
      </c>
      <c r="B19" s="129">
        <v>65035</v>
      </c>
      <c r="C19" s="130">
        <v>69040</v>
      </c>
      <c r="D19" s="131">
        <v>1485326105</v>
      </c>
      <c r="E19" s="144">
        <v>22839</v>
      </c>
      <c r="F19" s="143">
        <v>21514</v>
      </c>
      <c r="G19" s="146"/>
      <c r="H19" s="131">
        <v>2467926949</v>
      </c>
      <c r="I19" s="144">
        <v>37948</v>
      </c>
      <c r="J19" s="27">
        <v>35746</v>
      </c>
      <c r="K19" s="13"/>
    </row>
    <row r="20" spans="1:11" s="8" customFormat="1" ht="15" thickBot="1">
      <c r="A20" s="88" t="s">
        <v>56</v>
      </c>
      <c r="B20" s="132">
        <v>13765</v>
      </c>
      <c r="C20" s="133">
        <v>15710</v>
      </c>
      <c r="D20" s="134">
        <v>458220882</v>
      </c>
      <c r="E20" s="147">
        <v>33289</v>
      </c>
      <c r="F20" s="148">
        <v>29167</v>
      </c>
      <c r="G20" s="146"/>
      <c r="H20" s="134">
        <v>529761007</v>
      </c>
      <c r="I20" s="147">
        <v>38487</v>
      </c>
      <c r="J20" s="91">
        <v>33721</v>
      </c>
      <c r="K20" s="13"/>
    </row>
    <row r="21" spans="1:11">
      <c r="B21" s="20"/>
      <c r="C21" s="20"/>
      <c r="D21" s="11"/>
      <c r="H21" s="11"/>
    </row>
    <row r="22" spans="1:11">
      <c r="B22" s="11"/>
      <c r="C22" s="11"/>
      <c r="D22" s="11"/>
      <c r="H22" s="11"/>
    </row>
    <row r="23" spans="1:11">
      <c r="D23" s="11"/>
      <c r="H23" s="11"/>
    </row>
    <row r="24" spans="1:11" s="14" customFormat="1" ht="15" customHeight="1">
      <c r="A24" s="184" t="s">
        <v>81</v>
      </c>
      <c r="B24" s="186" t="s">
        <v>7</v>
      </c>
      <c r="C24" s="188" t="s">
        <v>8</v>
      </c>
      <c r="D24" s="182" t="s">
        <v>9</v>
      </c>
      <c r="E24" s="178" t="s">
        <v>5</v>
      </c>
      <c r="F24" s="180" t="s">
        <v>6</v>
      </c>
      <c r="G24" s="22"/>
      <c r="H24" s="182" t="s">
        <v>10</v>
      </c>
      <c r="I24" s="178" t="s">
        <v>5</v>
      </c>
      <c r="J24" s="176" t="s">
        <v>6</v>
      </c>
      <c r="K24" s="9"/>
    </row>
    <row r="25" spans="1:11" s="14" customFormat="1" ht="15" customHeight="1">
      <c r="A25" s="185"/>
      <c r="B25" s="187"/>
      <c r="C25" s="189"/>
      <c r="D25" s="183"/>
      <c r="E25" s="179" t="s">
        <v>11</v>
      </c>
      <c r="F25" s="181"/>
      <c r="G25" s="22"/>
      <c r="H25" s="183"/>
      <c r="I25" s="179" t="s">
        <v>11</v>
      </c>
      <c r="J25" s="177"/>
      <c r="K25" s="9"/>
    </row>
    <row r="26" spans="1:11" s="8" customFormat="1">
      <c r="A26" s="87" t="s">
        <v>83</v>
      </c>
      <c r="B26" s="129"/>
      <c r="C26" s="150"/>
      <c r="D26" s="131"/>
      <c r="E26" s="28"/>
      <c r="F26" s="27"/>
      <c r="G26" s="29"/>
      <c r="H26" s="26"/>
      <c r="I26" s="28"/>
      <c r="J26" s="27"/>
      <c r="K26" s="13"/>
    </row>
    <row r="27" spans="1:11" s="8" customFormat="1">
      <c r="A27" s="30" t="s">
        <v>15</v>
      </c>
      <c r="B27" s="136">
        <v>63685</v>
      </c>
      <c r="C27" s="136">
        <v>67172</v>
      </c>
      <c r="D27" s="137">
        <v>1450333858</v>
      </c>
      <c r="E27" s="18">
        <v>22773</v>
      </c>
      <c r="F27" s="19">
        <v>21591</v>
      </c>
      <c r="G27" s="29"/>
      <c r="H27" s="137">
        <v>2411530879</v>
      </c>
      <c r="I27" s="18">
        <v>37866</v>
      </c>
      <c r="J27" s="19">
        <v>35901</v>
      </c>
      <c r="K27" s="13"/>
    </row>
    <row r="28" spans="1:11" s="8" customFormat="1">
      <c r="A28" s="30" t="s">
        <v>33</v>
      </c>
      <c r="B28" s="136">
        <v>7423</v>
      </c>
      <c r="C28" s="136">
        <v>8576</v>
      </c>
      <c r="D28" s="137">
        <v>307420362</v>
      </c>
      <c r="E28" s="18">
        <v>41415</v>
      </c>
      <c r="F28" s="19">
        <v>35845</v>
      </c>
      <c r="G28" s="29"/>
      <c r="H28" s="137">
        <v>335384377</v>
      </c>
      <c r="I28" s="18">
        <v>45182</v>
      </c>
      <c r="J28" s="19">
        <v>39105</v>
      </c>
      <c r="K28" s="13"/>
    </row>
    <row r="29" spans="1:11" s="8" customFormat="1">
      <c r="A29" s="30" t="s">
        <v>29</v>
      </c>
      <c r="B29" s="149">
        <v>4784</v>
      </c>
      <c r="C29" s="149">
        <v>5452</v>
      </c>
      <c r="D29" s="137">
        <v>89818199</v>
      </c>
      <c r="E29" s="18">
        <v>18775</v>
      </c>
      <c r="F29" s="19">
        <v>16474</v>
      </c>
      <c r="G29" s="29"/>
      <c r="H29" s="137">
        <v>119483284</v>
      </c>
      <c r="I29" s="18">
        <v>24976</v>
      </c>
      <c r="J29" s="19">
        <v>21915</v>
      </c>
      <c r="K29" s="13"/>
    </row>
    <row r="30" spans="1:11" s="8" customFormat="1" ht="15.75" thickBot="1">
      <c r="A30" s="121" t="s">
        <v>82</v>
      </c>
      <c r="B30" s="38">
        <v>75892</v>
      </c>
      <c r="C30" s="39">
        <v>81201</v>
      </c>
      <c r="D30" s="116">
        <v>1847572419</v>
      </c>
      <c r="E30" s="117">
        <v>24345</v>
      </c>
      <c r="F30" s="118">
        <v>22753</v>
      </c>
      <c r="G30" s="29"/>
      <c r="H30" s="116">
        <v>2866398540</v>
      </c>
      <c r="I30" s="117">
        <v>37769</v>
      </c>
      <c r="J30" s="118">
        <v>35300</v>
      </c>
      <c r="K30" s="13"/>
    </row>
    <row r="31" spans="1:11" s="8" customFormat="1">
      <c r="A31" s="30"/>
      <c r="B31" s="34"/>
      <c r="C31" s="151"/>
      <c r="D31" s="17"/>
      <c r="E31" s="18"/>
      <c r="F31" s="19"/>
      <c r="G31" s="29"/>
      <c r="H31" s="17"/>
      <c r="I31" s="18"/>
      <c r="J31" s="19"/>
      <c r="K31" s="13"/>
    </row>
    <row r="32" spans="1:11" s="8" customFormat="1">
      <c r="A32" s="30" t="s">
        <v>84</v>
      </c>
      <c r="B32" s="136"/>
      <c r="C32" s="136"/>
      <c r="D32" s="137"/>
      <c r="E32" s="18"/>
      <c r="F32" s="19"/>
      <c r="G32" s="29"/>
      <c r="H32" s="17"/>
      <c r="I32" s="18"/>
      <c r="J32" s="19"/>
      <c r="K32" s="13"/>
    </row>
    <row r="33" spans="1:11" s="8" customFormat="1">
      <c r="A33" s="30" t="s">
        <v>15</v>
      </c>
      <c r="B33" s="136">
        <v>1350</v>
      </c>
      <c r="C33" s="136">
        <v>1868</v>
      </c>
      <c r="D33" s="137">
        <v>34992247</v>
      </c>
      <c r="E33" s="18">
        <v>25920</v>
      </c>
      <c r="F33" s="19">
        <v>18734</v>
      </c>
      <c r="G33" s="29"/>
      <c r="H33" s="137">
        <v>56396070</v>
      </c>
      <c r="I33" s="18">
        <v>41775</v>
      </c>
      <c r="J33" s="19">
        <v>30193</v>
      </c>
      <c r="K33" s="13"/>
    </row>
    <row r="34" spans="1:11" s="8" customFormat="1">
      <c r="A34" s="119" t="s">
        <v>33</v>
      </c>
      <c r="B34" s="149">
        <v>1558</v>
      </c>
      <c r="C34" s="149">
        <v>1682</v>
      </c>
      <c r="D34" s="141">
        <v>60982321</v>
      </c>
      <c r="E34" s="104">
        <v>39146</v>
      </c>
      <c r="F34" s="105">
        <v>36263</v>
      </c>
      <c r="G34" s="29"/>
      <c r="H34" s="141">
        <v>74893346</v>
      </c>
      <c r="I34" s="104">
        <v>48075</v>
      </c>
      <c r="J34" s="105">
        <v>44535</v>
      </c>
      <c r="K34" s="13"/>
    </row>
    <row r="35" spans="1:11" s="8" customFormat="1" ht="15.75" thickBot="1">
      <c r="A35" s="120" t="s">
        <v>85</v>
      </c>
      <c r="B35" s="38">
        <v>2908</v>
      </c>
      <c r="C35" s="39">
        <v>3549</v>
      </c>
      <c r="D35" s="89">
        <v>95974568</v>
      </c>
      <c r="E35" s="90">
        <v>33006</v>
      </c>
      <c r="F35" s="91">
        <v>27039</v>
      </c>
      <c r="G35" s="29"/>
      <c r="H35" s="89">
        <v>131289416</v>
      </c>
      <c r="I35" s="90">
        <v>45150</v>
      </c>
      <c r="J35" s="91">
        <v>36988</v>
      </c>
      <c r="K35" s="13"/>
    </row>
    <row r="36" spans="1:11">
      <c r="B36" s="20"/>
      <c r="C36" s="20"/>
      <c r="D36" s="11"/>
      <c r="H36" s="11"/>
    </row>
    <row r="37" spans="1:11">
      <c r="B37" s="11"/>
      <c r="C37" s="11"/>
      <c r="D37" s="11"/>
      <c r="H37" s="11"/>
    </row>
    <row r="38" spans="1:11">
      <c r="D38" s="11"/>
      <c r="H38" s="11"/>
    </row>
    <row r="39" spans="1:11" s="14" customFormat="1" ht="15" customHeight="1">
      <c r="A39" s="184" t="s">
        <v>98</v>
      </c>
      <c r="B39" s="186" t="s">
        <v>7</v>
      </c>
      <c r="C39" s="188" t="s">
        <v>8</v>
      </c>
      <c r="D39" s="182" t="s">
        <v>9</v>
      </c>
      <c r="E39" s="178" t="s">
        <v>5</v>
      </c>
      <c r="F39" s="180" t="s">
        <v>6</v>
      </c>
      <c r="G39" s="22"/>
      <c r="H39" s="182" t="s">
        <v>10</v>
      </c>
      <c r="I39" s="178" t="s">
        <v>5</v>
      </c>
      <c r="J39" s="176" t="s">
        <v>6</v>
      </c>
      <c r="K39" s="9"/>
    </row>
    <row r="40" spans="1:11" s="14" customFormat="1" ht="15" customHeight="1">
      <c r="A40" s="185"/>
      <c r="B40" s="187"/>
      <c r="C40" s="189"/>
      <c r="D40" s="183"/>
      <c r="E40" s="179" t="s">
        <v>11</v>
      </c>
      <c r="F40" s="181"/>
      <c r="G40" s="22"/>
      <c r="H40" s="183"/>
      <c r="I40" s="179" t="s">
        <v>11</v>
      </c>
      <c r="J40" s="177"/>
      <c r="K40" s="9"/>
    </row>
    <row r="41" spans="1:11" ht="15" customHeight="1">
      <c r="A41" s="15" t="s">
        <v>57</v>
      </c>
      <c r="B41" s="34"/>
      <c r="C41" s="16"/>
      <c r="D41" s="137">
        <v>1164665651</v>
      </c>
      <c r="E41" s="138">
        <v>14780</v>
      </c>
      <c r="F41" s="139">
        <v>13742</v>
      </c>
      <c r="G41" s="140"/>
      <c r="H41" s="137">
        <v>1164665651</v>
      </c>
      <c r="I41" s="138">
        <v>14780</v>
      </c>
      <c r="J41" s="139">
        <v>13742</v>
      </c>
      <c r="K41" s="11"/>
    </row>
    <row r="42" spans="1:11" ht="15" customHeight="1">
      <c r="A42" s="93" t="s">
        <v>58</v>
      </c>
      <c r="B42" s="94"/>
      <c r="C42" s="95"/>
      <c r="D42" s="152">
        <v>888704203</v>
      </c>
      <c r="E42" s="153">
        <v>11278</v>
      </c>
      <c r="F42" s="154">
        <v>10486</v>
      </c>
      <c r="G42" s="140"/>
      <c r="H42" s="152">
        <v>888704203</v>
      </c>
      <c r="I42" s="153">
        <v>11278</v>
      </c>
      <c r="J42" s="154">
        <v>10486</v>
      </c>
      <c r="K42" s="11"/>
    </row>
    <row r="43" spans="1:11" s="100" customFormat="1" ht="12">
      <c r="A43" s="96" t="s">
        <v>59</v>
      </c>
      <c r="B43" s="97"/>
      <c r="C43" s="98"/>
      <c r="D43" s="160">
        <v>68670120</v>
      </c>
      <c r="E43" s="161">
        <v>871</v>
      </c>
      <c r="F43" s="162">
        <v>810</v>
      </c>
      <c r="G43" s="155"/>
      <c r="H43" s="160">
        <v>68670120</v>
      </c>
      <c r="I43" s="161">
        <v>871</v>
      </c>
      <c r="J43" s="162">
        <v>810</v>
      </c>
      <c r="K43" s="99"/>
    </row>
    <row r="44" spans="1:11" s="100" customFormat="1" ht="12">
      <c r="A44" s="159" t="s">
        <v>60</v>
      </c>
      <c r="B44" s="97"/>
      <c r="C44" s="98"/>
      <c r="D44" s="160">
        <v>35740398</v>
      </c>
      <c r="E44" s="161">
        <v>454</v>
      </c>
      <c r="F44" s="162">
        <v>422</v>
      </c>
      <c r="G44" s="155"/>
      <c r="H44" s="160">
        <v>35740398</v>
      </c>
      <c r="I44" s="161">
        <v>454</v>
      </c>
      <c r="J44" s="162">
        <v>422</v>
      </c>
      <c r="K44" s="99"/>
    </row>
    <row r="45" spans="1:11" s="100" customFormat="1" ht="12">
      <c r="A45" s="96" t="s">
        <v>61</v>
      </c>
      <c r="B45" s="97"/>
      <c r="C45" s="98"/>
      <c r="D45" s="160">
        <v>8887533</v>
      </c>
      <c r="E45" s="161">
        <v>113</v>
      </c>
      <c r="F45" s="162">
        <v>105</v>
      </c>
      <c r="G45" s="155"/>
      <c r="H45" s="160">
        <v>8887533</v>
      </c>
      <c r="I45" s="161">
        <v>113</v>
      </c>
      <c r="J45" s="162">
        <v>105</v>
      </c>
      <c r="K45" s="99"/>
    </row>
    <row r="46" spans="1:11" s="100" customFormat="1" ht="12">
      <c r="A46" s="96" t="s">
        <v>62</v>
      </c>
      <c r="B46" s="97"/>
      <c r="C46" s="98"/>
      <c r="D46" s="160">
        <v>99045952</v>
      </c>
      <c r="E46" s="161">
        <v>1257</v>
      </c>
      <c r="F46" s="162">
        <v>1169</v>
      </c>
      <c r="G46" s="155"/>
      <c r="H46" s="160">
        <v>99045952</v>
      </c>
      <c r="I46" s="161">
        <v>1257</v>
      </c>
      <c r="J46" s="162">
        <v>1169</v>
      </c>
      <c r="K46" s="99"/>
    </row>
    <row r="47" spans="1:11" s="100" customFormat="1" ht="12">
      <c r="A47" s="96" t="s">
        <v>63</v>
      </c>
      <c r="B47" s="97"/>
      <c r="C47" s="98"/>
      <c r="D47" s="160">
        <v>14129359</v>
      </c>
      <c r="E47" s="161">
        <v>179</v>
      </c>
      <c r="F47" s="162">
        <v>167</v>
      </c>
      <c r="G47" s="155"/>
      <c r="H47" s="160">
        <v>14129359</v>
      </c>
      <c r="I47" s="161">
        <v>179</v>
      </c>
      <c r="J47" s="162">
        <v>167</v>
      </c>
      <c r="K47" s="99"/>
    </row>
    <row r="48" spans="1:11" s="100" customFormat="1" ht="12">
      <c r="A48" s="96" t="s">
        <v>100</v>
      </c>
      <c r="B48" s="97"/>
      <c r="C48" s="98"/>
      <c r="D48" s="160">
        <v>166709372</v>
      </c>
      <c r="E48" s="161">
        <v>2116</v>
      </c>
      <c r="F48" s="162">
        <v>1967</v>
      </c>
      <c r="G48" s="155"/>
      <c r="H48" s="160">
        <v>166709372</v>
      </c>
      <c r="I48" s="161">
        <v>2116</v>
      </c>
      <c r="J48" s="162">
        <v>1967</v>
      </c>
      <c r="K48" s="99"/>
    </row>
    <row r="49" spans="1:11" s="100" customFormat="1" ht="12">
      <c r="A49" s="96" t="s">
        <v>101</v>
      </c>
      <c r="B49" s="97"/>
      <c r="C49" s="98"/>
      <c r="D49" s="160">
        <v>454911681</v>
      </c>
      <c r="E49" s="161">
        <v>5773</v>
      </c>
      <c r="F49" s="162">
        <v>5368</v>
      </c>
      <c r="G49" s="155"/>
      <c r="H49" s="160">
        <v>454911681</v>
      </c>
      <c r="I49" s="161">
        <v>5773</v>
      </c>
      <c r="J49" s="162">
        <v>5368</v>
      </c>
      <c r="K49" s="99"/>
    </row>
    <row r="50" spans="1:11" s="100" customFormat="1" ht="12">
      <c r="A50" s="96" t="s">
        <v>64</v>
      </c>
      <c r="B50" s="97"/>
      <c r="C50" s="98"/>
      <c r="D50" s="160">
        <v>40609789</v>
      </c>
      <c r="E50" s="161">
        <v>515</v>
      </c>
      <c r="F50" s="162">
        <v>479</v>
      </c>
      <c r="G50" s="155"/>
      <c r="H50" s="160">
        <v>40609789</v>
      </c>
      <c r="I50" s="161">
        <v>515</v>
      </c>
      <c r="J50" s="162">
        <v>479</v>
      </c>
      <c r="K50" s="99"/>
    </row>
    <row r="51" spans="1:11" ht="15" customHeight="1">
      <c r="A51" s="101" t="s">
        <v>65</v>
      </c>
      <c r="B51" s="102"/>
      <c r="C51" s="103"/>
      <c r="D51" s="137">
        <v>-109822866</v>
      </c>
      <c r="E51" s="156">
        <v>-1394</v>
      </c>
      <c r="F51" s="157">
        <v>-1296</v>
      </c>
      <c r="G51" s="140"/>
      <c r="H51" s="141">
        <v>-109822866</v>
      </c>
      <c r="I51" s="156">
        <v>-1394</v>
      </c>
      <c r="J51" s="157">
        <v>-1296</v>
      </c>
      <c r="K51" s="11"/>
    </row>
    <row r="52" spans="1:11" ht="3" customHeight="1">
      <c r="A52" s="106"/>
      <c r="B52" s="107"/>
      <c r="C52" s="107"/>
      <c r="D52" s="158"/>
      <c r="E52" s="158"/>
      <c r="F52" s="158"/>
      <c r="G52" s="140"/>
      <c r="H52" s="158"/>
      <c r="I52" s="158"/>
      <c r="J52" s="158"/>
      <c r="K52" s="11"/>
    </row>
    <row r="53" spans="1:11" ht="15" customHeight="1">
      <c r="A53" s="15" t="s">
        <v>66</v>
      </c>
      <c r="B53" s="34"/>
      <c r="C53" s="16"/>
      <c r="D53" s="137"/>
      <c r="E53" s="138"/>
      <c r="F53" s="139"/>
      <c r="G53" s="140"/>
      <c r="H53" s="137">
        <v>185981273</v>
      </c>
      <c r="I53" s="138">
        <v>2360</v>
      </c>
      <c r="J53" s="139">
        <v>2194</v>
      </c>
      <c r="K53" s="11"/>
    </row>
    <row r="54" spans="1:11" ht="15" customHeight="1">
      <c r="A54" s="30" t="s">
        <v>67</v>
      </c>
      <c r="B54" s="34"/>
      <c r="C54" s="16"/>
      <c r="D54" s="137"/>
      <c r="E54" s="138"/>
      <c r="F54" s="139"/>
      <c r="G54" s="140"/>
      <c r="H54" s="137">
        <v>43358646</v>
      </c>
      <c r="I54" s="138">
        <v>550</v>
      </c>
      <c r="J54" s="139">
        <v>512</v>
      </c>
      <c r="K54" s="11"/>
    </row>
    <row r="55" spans="1:11" ht="15" customHeight="1">
      <c r="A55" s="30" t="s">
        <v>68</v>
      </c>
      <c r="B55" s="34"/>
      <c r="C55" s="16"/>
      <c r="D55" s="137"/>
      <c r="E55" s="138"/>
      <c r="F55" s="139"/>
      <c r="G55" s="140"/>
      <c r="H55" s="137">
        <v>259687008</v>
      </c>
      <c r="I55" s="138">
        <v>3296</v>
      </c>
      <c r="J55" s="139">
        <v>3064</v>
      </c>
      <c r="K55" s="11"/>
    </row>
    <row r="56" spans="1:11" ht="15" customHeight="1">
      <c r="A56" s="15" t="s">
        <v>69</v>
      </c>
      <c r="B56" s="34"/>
      <c r="C56" s="16"/>
      <c r="D56" s="137"/>
      <c r="E56" s="138"/>
      <c r="F56" s="139"/>
      <c r="G56" s="140"/>
      <c r="H56" s="137">
        <v>98676383</v>
      </c>
      <c r="I56" s="138">
        <v>1252</v>
      </c>
      <c r="J56" s="139">
        <v>1164</v>
      </c>
      <c r="K56" s="11"/>
    </row>
    <row r="57" spans="1:11" ht="15" customHeight="1">
      <c r="A57" s="15" t="s">
        <v>70</v>
      </c>
      <c r="B57" s="34"/>
      <c r="C57" s="16"/>
      <c r="D57" s="137"/>
      <c r="E57" s="138"/>
      <c r="F57" s="139"/>
      <c r="G57" s="140"/>
      <c r="H57" s="137">
        <v>124850474</v>
      </c>
      <c r="I57" s="138">
        <v>1584</v>
      </c>
      <c r="J57" s="139">
        <v>1473</v>
      </c>
      <c r="K57" s="11"/>
    </row>
    <row r="58" spans="1:11" ht="15" customHeight="1">
      <c r="A58" s="101" t="s">
        <v>71</v>
      </c>
      <c r="B58" s="102"/>
      <c r="C58" s="103"/>
      <c r="D58" s="141"/>
      <c r="E58" s="156"/>
      <c r="F58" s="157"/>
      <c r="G58" s="140"/>
      <c r="H58" s="141">
        <v>341587186</v>
      </c>
      <c r="I58" s="156">
        <v>4335</v>
      </c>
      <c r="J58" s="157">
        <v>4031</v>
      </c>
      <c r="K58" s="11"/>
    </row>
    <row r="59" spans="1:11" ht="15" customHeight="1" thickBot="1">
      <c r="A59" s="108" t="s">
        <v>99</v>
      </c>
      <c r="B59" s="109">
        <v>78800</v>
      </c>
      <c r="C59" s="110">
        <v>84750</v>
      </c>
      <c r="D59" s="111">
        <v>1943546987</v>
      </c>
      <c r="E59" s="112">
        <v>24664</v>
      </c>
      <c r="F59" s="113">
        <v>22933</v>
      </c>
      <c r="G59" s="23"/>
      <c r="H59" s="111">
        <v>2997687957</v>
      </c>
      <c r="I59" s="112">
        <v>38042</v>
      </c>
      <c r="J59" s="113">
        <v>35371</v>
      </c>
      <c r="K59" s="11"/>
    </row>
    <row r="60" spans="1:11" ht="15" customHeight="1">
      <c r="A60" s="114"/>
      <c r="B60" s="31"/>
      <c r="C60" s="31"/>
      <c r="D60" s="115"/>
      <c r="E60" s="115"/>
      <c r="F60" s="115"/>
      <c r="G60" s="23"/>
      <c r="H60" s="115"/>
      <c r="I60" s="115"/>
      <c r="J60" s="36" t="s">
        <v>89</v>
      </c>
      <c r="K60" s="11"/>
    </row>
    <row r="61" spans="1:11"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/>
      <c r="H61" s="11">
        <v>0</v>
      </c>
      <c r="I61" s="11">
        <v>0</v>
      </c>
      <c r="J61" s="11">
        <v>0</v>
      </c>
    </row>
    <row r="62" spans="1:11" ht="15.75">
      <c r="A62" s="7" t="s">
        <v>31</v>
      </c>
      <c r="B62" s="20"/>
      <c r="C62" s="20"/>
      <c r="D62" s="11"/>
      <c r="E62" s="11"/>
      <c r="F62" s="11"/>
      <c r="G62" s="11"/>
      <c r="H62" s="11"/>
      <c r="I62" s="11"/>
      <c r="J62" s="11"/>
    </row>
    <row r="63" spans="1:11">
      <c r="A63" s="37" t="s">
        <v>72</v>
      </c>
      <c r="D63" s="10"/>
      <c r="E63" s="11"/>
      <c r="F63" s="11"/>
      <c r="G63" s="10"/>
      <c r="H63" s="11"/>
      <c r="I63" s="11"/>
      <c r="J63" s="11"/>
      <c r="K63" s="11"/>
    </row>
    <row r="64" spans="1:11">
      <c r="A64" s="37" t="s">
        <v>73</v>
      </c>
      <c r="C64" s="35"/>
      <c r="D64" s="11"/>
      <c r="H64" s="11"/>
    </row>
    <row r="65" spans="1:8">
      <c r="C65" s="35"/>
      <c r="D65" s="11"/>
      <c r="H65" s="11"/>
    </row>
    <row r="66" spans="1:8">
      <c r="C66" s="35"/>
      <c r="D66" s="11"/>
    </row>
    <row r="67" spans="1:8">
      <c r="A67" s="6" t="s">
        <v>14</v>
      </c>
      <c r="C67" s="35"/>
      <c r="D67" s="11"/>
    </row>
    <row r="68" spans="1:8">
      <c r="C68" s="35"/>
      <c r="D68" s="11"/>
    </row>
    <row r="69" spans="1:8">
      <c r="C69" s="35"/>
      <c r="D69" s="11"/>
    </row>
    <row r="70" spans="1:8">
      <c r="C70" s="35"/>
      <c r="D70" s="11"/>
    </row>
    <row r="71" spans="1:8">
      <c r="C71" s="35"/>
      <c r="D71" s="11"/>
    </row>
    <row r="72" spans="1:8">
      <c r="C72" s="35"/>
      <c r="D72" s="11"/>
    </row>
    <row r="73" spans="1:8">
      <c r="C73" s="35"/>
      <c r="D73" s="11"/>
    </row>
    <row r="74" spans="1:8">
      <c r="C74" s="35"/>
      <c r="D74" s="11"/>
    </row>
    <row r="75" spans="1:8">
      <c r="C75" s="35"/>
      <c r="D75" s="11"/>
    </row>
    <row r="76" spans="1:8">
      <c r="C76" s="35"/>
      <c r="D76" s="11"/>
    </row>
    <row r="77" spans="1:8">
      <c r="B77" s="35"/>
    </row>
  </sheetData>
  <mergeCells count="45">
    <mergeCell ref="D24:D25"/>
    <mergeCell ref="B17:B18"/>
    <mergeCell ref="C17:C18"/>
    <mergeCell ref="D17:D18"/>
    <mergeCell ref="J24:J25"/>
    <mergeCell ref="E24:E25"/>
    <mergeCell ref="F24:F25"/>
    <mergeCell ref="H24:H25"/>
    <mergeCell ref="I24:I25"/>
    <mergeCell ref="J17:J18"/>
    <mergeCell ref="E17:E18"/>
    <mergeCell ref="F17:F18"/>
    <mergeCell ref="H17:H18"/>
    <mergeCell ref="I17:I18"/>
    <mergeCell ref="J10:J11"/>
    <mergeCell ref="J3:J4"/>
    <mergeCell ref="H3:H4"/>
    <mergeCell ref="E3:E4"/>
    <mergeCell ref="F3:F4"/>
    <mergeCell ref="F10:F11"/>
    <mergeCell ref="H10:H11"/>
    <mergeCell ref="I3:I4"/>
    <mergeCell ref="E10:E11"/>
    <mergeCell ref="I10:I11"/>
    <mergeCell ref="A39:A40"/>
    <mergeCell ref="B39:B40"/>
    <mergeCell ref="C39:C40"/>
    <mergeCell ref="D39:D40"/>
    <mergeCell ref="C3:C4"/>
    <mergeCell ref="D3:D4"/>
    <mergeCell ref="A3:A4"/>
    <mergeCell ref="B3:B4"/>
    <mergeCell ref="A10:A11"/>
    <mergeCell ref="B10:B11"/>
    <mergeCell ref="C10:C11"/>
    <mergeCell ref="D10:D11"/>
    <mergeCell ref="A17:A18"/>
    <mergeCell ref="A24:A25"/>
    <mergeCell ref="B24:B25"/>
    <mergeCell ref="C24:C25"/>
    <mergeCell ref="J39:J40"/>
    <mergeCell ref="E39:E40"/>
    <mergeCell ref="F39:F40"/>
    <mergeCell ref="H39:H40"/>
    <mergeCell ref="I39:I40"/>
  </mergeCells>
  <phoneticPr fontId="25" type="noConversion"/>
  <conditionalFormatting sqref="D38 B61:J62 H36:H38 D8:D9 B14:D14 B15:C15 H7:H9 C7:D7 B7:B8 C8 D15:D16 H14:H16 B21:D22 D23 H21:H23 B36:D37">
    <cfRule type="cellIs" dxfId="6" priority="2" stopIfTrue="1" operator="between">
      <formula>0</formula>
      <formula>0</formula>
    </cfRule>
  </conditionalFormatting>
  <conditionalFormatting sqref="J60">
    <cfRule type="cellIs" dxfId="5" priority="1" stopIfTrue="1" operator="between">
      <formula>0</formula>
      <formula>0</formula>
    </cfRule>
  </conditionalFormatting>
  <printOptions horizontalCentered="1"/>
  <pageMargins left="0.18" right="0.21" top="0.28000000000000003" bottom="0.28000000000000003" header="0.17" footer="0.17"/>
  <pageSetup paperSize="9" scale="62" orientation="landscape" r:id="rId1"/>
  <headerFooter alignWithMargins="0">
    <oddFooter>&amp;C&amp;"Arial,Regular"&amp;A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Cover </vt:lpstr>
      <vt:lpstr>T1_Contracted Prisons</vt:lpstr>
      <vt:lpstr>T2_Supplementary Data</vt:lpstr>
      <vt:lpstr>'T1_Contracted Prisons'!Print_Area</vt:lpstr>
      <vt:lpstr>'T2_Supplementary Data'!Print_Area</vt:lpstr>
    </vt:vector>
  </TitlesOfParts>
  <Company>HMPS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HMPS</dc:creator>
  <cp:lastModifiedBy>Rawat, Mohammed [NOMS]</cp:lastModifiedBy>
  <cp:lastPrinted>2017-10-17T11:33:16Z</cp:lastPrinted>
  <dcterms:created xsi:type="dcterms:W3CDTF">2013-09-06T10:12:37Z</dcterms:created>
  <dcterms:modified xsi:type="dcterms:W3CDTF">2017-10-19T13:17:57Z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